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y Garcia\PRINCESSES KINGDOM Dropbox\jose garcia\OPERACIONES\TIERRA PROMETIDA\EXPORTACIONES 2026\EXPO175-2026\"/>
    </mc:Choice>
  </mc:AlternateContent>
  <xr:revisionPtr revIDLastSave="0" documentId="13_ncr:1_{E1621C75-2642-42FD-AE1F-34852F478C12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Master Spread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1" l="1"/>
</calcChain>
</file>

<file path=xl/sharedStrings.xml><?xml version="1.0" encoding="utf-8"?>
<sst xmlns="http://schemas.openxmlformats.org/spreadsheetml/2006/main" count="86" uniqueCount="42">
  <si>
    <t>ETA</t>
  </si>
  <si>
    <t>Net Kilos
per unit</t>
  </si>
  <si>
    <t>Ocean
Master B/L</t>
  </si>
  <si>
    <t>Ocean
Container</t>
  </si>
  <si>
    <t>Importer</t>
  </si>
  <si>
    <t>Port of
Discharge</t>
  </si>
  <si>
    <t>Quantity
(# of cartons, boxes, crates, 
etc. do not use pallets)</t>
  </si>
  <si>
    <t>Packing
(Type of packing -
cartons, boxes,
crates, etc. do not use 
pallets)</t>
  </si>
  <si>
    <t xml:space="preserve">Commodity
Description
</t>
  </si>
  <si>
    <t>Exporter/Shipper
Name</t>
  </si>
  <si>
    <t>Grower Numer</t>
  </si>
  <si>
    <t xml:space="preserve">Grower Name
</t>
  </si>
  <si>
    <t xml:space="preserve">Grower Address
</t>
  </si>
  <si>
    <t>Packing Facility 
(Name and Address)</t>
  </si>
  <si>
    <t>Packing Facility
FDA Registration Number</t>
  </si>
  <si>
    <t>EMAIL COMPLETED SPREADSHEET TO:      DOCS@JKFRESHEAST.COM</t>
  </si>
  <si>
    <t>CAJAS</t>
  </si>
  <si>
    <t>LIMON TAHITI</t>
  </si>
  <si>
    <t>City/Municipality</t>
  </si>
  <si>
    <t>Department</t>
  </si>
  <si>
    <t>TIERRA PROMETIDA TRADING S.A.S.</t>
  </si>
  <si>
    <t>PRINCESSES KINGDOM CORP</t>
  </si>
  <si>
    <t>MIAMI</t>
  </si>
  <si>
    <t>Vereda Chocoita</t>
  </si>
  <si>
    <t>Chocoita</t>
  </si>
  <si>
    <t>Santander</t>
  </si>
  <si>
    <t>C.I. GRAMALUZ CRA 35 A 46-04 BUCARAMANGA</t>
  </si>
  <si>
    <t>15000896</t>
  </si>
  <si>
    <t>Los Almendros</t>
  </si>
  <si>
    <t>Vereda Peñas</t>
  </si>
  <si>
    <t>55000592</t>
  </si>
  <si>
    <t>Villa Isabel</t>
  </si>
  <si>
    <t>25000843</t>
  </si>
  <si>
    <t>San Nicolas</t>
  </si>
  <si>
    <t>Vereda El Pilon</t>
  </si>
  <si>
    <t>Zapatoca</t>
  </si>
  <si>
    <t>Vista Hermosa</t>
  </si>
  <si>
    <t>Vereda Palogordo</t>
  </si>
  <si>
    <t>La Arenosa</t>
  </si>
  <si>
    <t>22-06-26</t>
  </si>
  <si>
    <t>ZIMUCRT914086</t>
  </si>
  <si>
    <t>TTNU8272195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</si>
</sst>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Calibri"/>
      <family val="2"/>
      <scheme val="minor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4" fontId="4" fillId="0" borderId="1" xfId="0" quotePrefix="1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"/>
  <sheetViews>
    <sheetView tabSelected="1" topLeftCell="C1" zoomScaleNormal="100" workbookViewId="0">
      <selection activeCell="E7" sqref="E7"/>
    </sheetView>
  </sheetViews>
  <sheetFormatPr baseColWidth="10" defaultColWidth="11.6640625" defaultRowHeight="13.2" x14ac:dyDescent="0.25"/>
  <cols>
    <col min="1" max="1" width="29.5546875" style="5" customWidth="1"/>
    <col min="2" max="2" width="10.109375" style="5" bestFit="1" customWidth="1"/>
    <col min="3" max="3" width="34.109375" style="5" bestFit="1" customWidth="1"/>
    <col min="4" max="4" width="15.109375" style="5" customWidth="1"/>
    <col min="5" max="5" width="10.6640625" style="5" bestFit="1" customWidth="1"/>
    <col min="6" max="6" width="17" style="5" bestFit="1" customWidth="1"/>
    <col min="7" max="7" width="20.33203125" style="5" bestFit="1" customWidth="1"/>
    <col min="8" max="8" width="16.109375" style="5" bestFit="1" customWidth="1"/>
    <col min="9" max="9" width="14" style="5" bestFit="1" customWidth="1"/>
    <col min="10" max="10" width="38.5546875" style="5" bestFit="1" customWidth="1"/>
    <col min="11" max="11" width="12.33203125" style="5" customWidth="1"/>
    <col min="12" max="12" width="12.6640625" style="5" bestFit="1" customWidth="1"/>
    <col min="13" max="13" width="13.44140625" style="5" bestFit="1" customWidth="1"/>
    <col min="14" max="14" width="16" style="5" customWidth="1"/>
    <col min="15" max="15" width="7.6640625" style="5" customWidth="1"/>
    <col min="16" max="16" width="15.88671875" style="5" bestFit="1" customWidth="1"/>
    <col min="17" max="17" width="13.33203125" style="5" bestFit="1" customWidth="1"/>
    <col min="18" max="16384" width="11.6640625" style="5"/>
  </cols>
  <sheetData>
    <row r="1" spans="1:17" s="12" customFormat="1" x14ac:dyDescent="0.25">
      <c r="A1" s="11" t="s">
        <v>15</v>
      </c>
      <c r="B1" s="3"/>
      <c r="E1" s="3"/>
      <c r="F1" s="3"/>
      <c r="G1" s="3"/>
      <c r="H1" s="3"/>
      <c r="I1" s="3"/>
      <c r="M1" s="3"/>
      <c r="P1" s="3"/>
      <c r="Q1" s="3"/>
    </row>
    <row r="2" spans="1:17" s="1" customFormat="1" ht="79.2" x14ac:dyDescent="0.25">
      <c r="A2" s="1" t="s">
        <v>4</v>
      </c>
      <c r="B2" s="1" t="s">
        <v>0</v>
      </c>
      <c r="C2" s="2" t="s">
        <v>9</v>
      </c>
      <c r="D2" s="2" t="s">
        <v>5</v>
      </c>
      <c r="E2" s="2" t="s">
        <v>10</v>
      </c>
      <c r="F2" s="2" t="s">
        <v>11</v>
      </c>
      <c r="G2" s="2" t="s">
        <v>12</v>
      </c>
      <c r="H2" s="2" t="s">
        <v>18</v>
      </c>
      <c r="I2" s="2" t="s">
        <v>19</v>
      </c>
      <c r="J2" s="2" t="s">
        <v>13</v>
      </c>
      <c r="K2" s="2" t="s">
        <v>14</v>
      </c>
      <c r="L2" s="2" t="s">
        <v>8</v>
      </c>
      <c r="M2" s="2" t="s">
        <v>6</v>
      </c>
      <c r="N2" s="2" t="s">
        <v>7</v>
      </c>
      <c r="O2" s="2" t="s">
        <v>1</v>
      </c>
      <c r="P2" s="2" t="s">
        <v>2</v>
      </c>
      <c r="Q2" s="2" t="s">
        <v>3</v>
      </c>
    </row>
    <row r="3" spans="1:17" x14ac:dyDescent="0.25">
      <c r="A3" s="4" t="s">
        <v>21</v>
      </c>
      <c r="B3" s="8" t="s">
        <v>39</v>
      </c>
      <c r="C3" s="4" t="s">
        <v>20</v>
      </c>
      <c r="D3" s="4" t="s">
        <v>22</v>
      </c>
      <c r="E3" s="9" t="s">
        <v>27</v>
      </c>
      <c r="F3" s="14" t="s">
        <v>28</v>
      </c>
      <c r="G3" s="6" t="s">
        <v>29</v>
      </c>
      <c r="H3" s="7" t="s">
        <v>24</v>
      </c>
      <c r="I3" s="7" t="s">
        <v>25</v>
      </c>
      <c r="J3" s="10" t="s">
        <v>26</v>
      </c>
      <c r="L3" s="5" t="s">
        <v>17</v>
      </c>
      <c r="M3" s="5">
        <v>132</v>
      </c>
      <c r="N3" s="5" t="s">
        <v>16</v>
      </c>
      <c r="O3" s="5">
        <v>16.2</v>
      </c>
      <c r="P3" s="5" t="s">
        <v>40</v>
      </c>
      <c r="Q3" s="13" t="s">
        <v>41</v>
      </c>
    </row>
    <row r="4" spans="1:17" x14ac:dyDescent="0.25">
      <c r="A4" s="4" t="s">
        <v>21</v>
      </c>
      <c r="B4" s="8" t="s">
        <v>39</v>
      </c>
      <c r="C4" s="4" t="s">
        <v>20</v>
      </c>
      <c r="D4" s="4" t="s">
        <v>22</v>
      </c>
      <c r="E4" s="9" t="s">
        <v>30</v>
      </c>
      <c r="F4" s="7" t="s">
        <v>31</v>
      </c>
      <c r="G4" s="6" t="s">
        <v>23</v>
      </c>
      <c r="H4" s="7" t="s">
        <v>24</v>
      </c>
      <c r="I4" s="7" t="s">
        <v>25</v>
      </c>
      <c r="J4" s="10" t="s">
        <v>26</v>
      </c>
      <c r="L4" s="5" t="s">
        <v>17</v>
      </c>
      <c r="M4" s="5">
        <v>284</v>
      </c>
      <c r="N4" s="5" t="s">
        <v>16</v>
      </c>
      <c r="O4" s="5">
        <v>16.2</v>
      </c>
      <c r="P4" s="5" t="s">
        <v>40</v>
      </c>
      <c r="Q4" s="13" t="s">
        <v>41</v>
      </c>
    </row>
    <row r="5" spans="1:17" x14ac:dyDescent="0.25">
      <c r="A5" s="4" t="s">
        <v>21</v>
      </c>
      <c r="B5" s="8" t="s">
        <v>39</v>
      </c>
      <c r="C5" s="4" t="s">
        <v>20</v>
      </c>
      <c r="D5" s="4" t="s">
        <v>22</v>
      </c>
      <c r="E5" s="9" t="s">
        <v>32</v>
      </c>
      <c r="F5" s="7" t="s">
        <v>33</v>
      </c>
      <c r="G5" s="6" t="s">
        <v>34</v>
      </c>
      <c r="H5" s="7" t="s">
        <v>35</v>
      </c>
      <c r="I5" s="7" t="s">
        <v>25</v>
      </c>
      <c r="J5" s="10" t="s">
        <v>26</v>
      </c>
      <c r="L5" s="5" t="s">
        <v>17</v>
      </c>
      <c r="M5" s="5">
        <v>334</v>
      </c>
      <c r="N5" s="5" t="s">
        <v>16</v>
      </c>
      <c r="O5" s="5">
        <v>16.2</v>
      </c>
      <c r="P5" s="5" t="s">
        <v>40</v>
      </c>
      <c r="Q5" s="13" t="s">
        <v>41</v>
      </c>
    </row>
    <row r="6" spans="1:17" x14ac:dyDescent="0.25">
      <c r="A6" s="4" t="s">
        <v>21</v>
      </c>
      <c r="B6" s="8" t="s">
        <v>39</v>
      </c>
      <c r="C6" s="4" t="s">
        <v>20</v>
      </c>
      <c r="D6" s="4" t="s">
        <v>22</v>
      </c>
      <c r="E6" s="9">
        <v>180003708</v>
      </c>
      <c r="F6" s="14" t="s">
        <v>36</v>
      </c>
      <c r="G6" s="6" t="s">
        <v>37</v>
      </c>
      <c r="H6" s="7" t="s">
        <v>24</v>
      </c>
      <c r="I6" s="7" t="s">
        <v>25</v>
      </c>
      <c r="J6" s="10" t="s">
        <v>26</v>
      </c>
      <c r="L6" s="5" t="s">
        <v>17</v>
      </c>
      <c r="M6" s="5">
        <v>261</v>
      </c>
      <c r="N6" s="5" t="s">
        <v>16</v>
      </c>
      <c r="O6" s="5">
        <v>16.2</v>
      </c>
      <c r="P6" s="5" t="s">
        <v>40</v>
      </c>
      <c r="Q6" s="13" t="s">
        <v>41</v>
      </c>
    </row>
    <row r="7" spans="1:17" x14ac:dyDescent="0.25">
      <c r="A7" s="4" t="s">
        <v>21</v>
      </c>
      <c r="B7" s="8" t="s">
        <v>39</v>
      </c>
      <c r="C7" s="4" t="s">
        <v>20</v>
      </c>
      <c r="D7" s="4" t="s">
        <v>22</v>
      </c>
      <c r="E7" s="9">
        <v>790004802</v>
      </c>
      <c r="F7" s="14" t="s">
        <v>38</v>
      </c>
      <c r="G7" s="6" t="s">
        <v>23</v>
      </c>
      <c r="H7" s="7" t="s">
        <v>24</v>
      </c>
      <c r="I7" s="7" t="s">
        <v>25</v>
      </c>
      <c r="J7" s="10" t="s">
        <v>26</v>
      </c>
      <c r="L7" s="5" t="s">
        <v>17</v>
      </c>
      <c r="M7" s="5">
        <v>389</v>
      </c>
      <c r="N7" s="5" t="s">
        <v>16</v>
      </c>
      <c r="O7" s="5">
        <v>16.2</v>
      </c>
      <c r="P7" s="5" t="s">
        <v>40</v>
      </c>
      <c r="Q7" s="13" t="s">
        <v>41</v>
      </c>
    </row>
    <row r="8" spans="1:17" x14ac:dyDescent="0.25">
      <c r="M8" s="5">
        <f>SUM(M3:M7)</f>
        <v>1400</v>
      </c>
    </row>
  </sheetData>
  <phoneticPr fontId="0" type="noConversion"/>
  <printOptions gridLines="1"/>
  <pageMargins left="0.75" right="0.75" top="1" bottom="1" header="0.5" footer="0.5"/>
  <pageSetup orientation="landscape" horizont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Master Spreadsheet</vt:lpstr>
    </vt:vector>
  </TitlesOfParts>
  <Company>Barthco, Intl.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Stevenson</dc:creator>
  <cp:lastModifiedBy>Tierra Prometida Trading</cp:lastModifiedBy>
  <cp:lastPrinted>2004-10-29T16:11:05Z</cp:lastPrinted>
  <dcterms:created xsi:type="dcterms:W3CDTF">2003-12-01T19:40:38Z</dcterms:created>
  <dcterms:modified xsi:type="dcterms:W3CDTF">2026-06-18T14:21:38Z</dcterms:modified>
</cp:coreProperties>
</file>