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ndy Garcia\PRINCESSES KINGDOM Dropbox\jose garcia\OPERACIONES\TIERRA PROMETIDA\EXPORTACIONES 2026\EXPO162-2026\"/>
    </mc:Choice>
  </mc:AlternateContent>
  <xr:revisionPtr revIDLastSave="0" documentId="13_ncr:1_{3F7D8D5B-7005-47E7-BD2D-F83B5990807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oja1" sheetId="1" r:id="rId1"/>
    <sheet name="Hoja1 (2)" sheetId="3" r:id="rId2"/>
    <sheet name="FACTURA FINAL" sheetId="4" r:id="rId3"/>
  </sheets>
  <definedNames>
    <definedName name="_xlnm.Print_Area" localSheetId="2">'FACTURA FINAL'!$A$1:$I$61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4" l="1"/>
  <c r="H56" i="4" l="1"/>
  <c r="H58" i="4" s="1"/>
  <c r="H54" i="3"/>
  <c r="H56" i="3" s="1"/>
  <c r="H54" i="1"/>
  <c r="H56" i="1" s="1"/>
</calcChain>
</file>

<file path=xl/sharedStrings.xml><?xml version="1.0" encoding="utf-8"?>
<sst xmlns="http://schemas.openxmlformats.org/spreadsheetml/2006/main" count="77" uniqueCount="55">
  <si>
    <t>FECHA DE EXPEDICION:</t>
  </si>
  <si>
    <t>SEÑORES:</t>
  </si>
  <si>
    <t xml:space="preserve">DIRECCION: </t>
  </si>
  <si>
    <t>FECHA DE VENCIMIENTO:</t>
  </si>
  <si>
    <t>NIT:</t>
  </si>
  <si>
    <t>TELEFONO:</t>
  </si>
  <si>
    <t>CANTIDAD</t>
  </si>
  <si>
    <t>DESCRICION</t>
  </si>
  <si>
    <t>VR UNITARIO</t>
  </si>
  <si>
    <t>VALOR TOTAL</t>
  </si>
  <si>
    <t>FACTURA DE VENTA No</t>
  </si>
  <si>
    <t>SUBTOTAL</t>
  </si>
  <si>
    <t xml:space="preserve">IVA </t>
  </si>
  <si>
    <t>TOTAL A PAGAR</t>
  </si>
  <si>
    <t>Impreso por Edgardo Castro Maldonado Nit: 7.422.754 - 1</t>
  </si>
  <si>
    <t xml:space="preserve">Esta factura de venta se asimila en todos sus efectos a una letra de cambio según articulo 621, 773, 774 del codigo de comercio </t>
  </si>
  <si>
    <t>NIT: 901.078.532 - 0</t>
  </si>
  <si>
    <t xml:space="preserve">Son: </t>
  </si>
  <si>
    <t>001</t>
  </si>
  <si>
    <t>H.L. HERNANDEZ</t>
  </si>
  <si>
    <t>Carrera 43 No 99 - 55 cc Miramar L2-28</t>
  </si>
  <si>
    <t>Plaza del mercado, Caguas, PR 00725</t>
  </si>
  <si>
    <t>Caja de Ñame diamante por 50 libras</t>
  </si>
  <si>
    <t>Peso bruto total 
54.000 lb</t>
  </si>
  <si>
    <t>Peso Neto total
54.000 lb</t>
  </si>
  <si>
    <t>Banking Instructions 
Beneficiary Bank: BANCOLOMBIA -  Swift Code: COLOCOBM
Beneficiary Name: Tierra Prometida Trading S.A.S. - Beneficiary Account: 08376792855 AHORROS</t>
  </si>
  <si>
    <t xml:space="preserve">diez mil ochocientos dolares </t>
  </si>
  <si>
    <t>DIAN Resolución No 18763005241289 de 24/03/2020</t>
  </si>
  <si>
    <t>Numeracion autorizada de TP1 al TP100</t>
  </si>
  <si>
    <t>Vigencia 18 meses</t>
  </si>
  <si>
    <t>Tel 3002004244</t>
  </si>
  <si>
    <t>Barranquilla - Colombia</t>
  </si>
  <si>
    <t>No somos grandes contribuyentes 
no somos autoretenedores</t>
  </si>
  <si>
    <t>FIRMA AUTORIZADA</t>
  </si>
  <si>
    <t>FIRMA COMPRADOR ACEPTANTE</t>
  </si>
  <si>
    <t>USD 10.800</t>
  </si>
  <si>
    <t>USD 10</t>
  </si>
  <si>
    <t xml:space="preserve">  </t>
  </si>
  <si>
    <t>INCONTERM:  FOB CARTAGENA 
TERMINOS Y CONDICIONES: Este valor incluye los gastos portuarios locales tales como movimiento de contenedor cargue y descargue
FORMA DE PAGO: Contado
PUERTO DE EMBARQUE: Cartagena, Colombia (Sur America)
PUERTO DE DESCARGUE: San Juan, Puerto rico
EMPRESA QUE RECIBE: H.L. HERNANDEZ
DIRECCION: Plaza del mercado, Caguas, PR 00725 Centro de distribucion agricola local 2 y 15 
LUGAR: San Juan, Puerto Rico
Telefono:7877462636
Contacto: Don Hector Hernandez</t>
  </si>
  <si>
    <t xml:space="preserve">Esta factura de venta se asimila en todos sus efectos a una letra de cambio según articulo 621, 773, 774 del código de comercio </t>
  </si>
  <si>
    <t>No somos grandes contribuyentes 
no somos auto retenedores</t>
  </si>
  <si>
    <t>Numeración autorizada de TP1 al TP100</t>
  </si>
  <si>
    <t>FACTURA PROFORMA</t>
  </si>
  <si>
    <t>Peso Neto total 
49.000 Lb</t>
  </si>
  <si>
    <t>Peso Bruto total 49.000 Lb</t>
  </si>
  <si>
    <t>PRINCESSES KINGDOM CORP</t>
  </si>
  <si>
    <t>Carrera 50 No 75-147 Piso 2 Of 202</t>
  </si>
  <si>
    <t>Tel 3105053118</t>
  </si>
  <si>
    <t xml:space="preserve">Caja de 35 libras Limón Verde suelto Calibre 150, 175, 200 y 230 </t>
  </si>
  <si>
    <t>1001 S. Dairy Ashford, Suite 100-163 Houston, TX 77077</t>
  </si>
  <si>
    <t>TÉRMINOS Y CONDICIONES: Este valor incluye los gastos portuarios locales tales como movimiento de contenedor cargue y descargue
INCONTERM: FOB PUERTO DE CARTAGENA
FORMA DE PAGO: 30 Días   
PUERTO DE EMBARQUE: Cartagena, Colombia (Sur América)
PUERTO DE DESCARGUE: Miami, Estados Unidos
EMPRESA QUE RECIBE: PRINCESSES KINGDOM CORP
DIRECCION: 1001 S. Dairy Ashford, Suite 100-163 Houston, TX 77077</t>
  </si>
  <si>
    <t>Veintiocho mil dolares</t>
  </si>
  <si>
    <t>2026-04-05</t>
  </si>
  <si>
    <t>2026-04-06</t>
  </si>
  <si>
    <t>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</si>
</sst>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doni MT"/>
      <family val="1"/>
    </font>
    <font>
      <sz val="8"/>
      <color theme="1"/>
      <name val="Bodoni MT"/>
      <family val="1"/>
    </font>
    <font>
      <sz val="12"/>
      <color theme="1"/>
      <name val="Calibri"/>
      <family val="2"/>
      <scheme val="minor"/>
    </font>
    <font>
      <b/>
      <sz val="12"/>
      <color theme="1"/>
      <name val="Aparajita"/>
      <family val="2"/>
    </font>
    <font>
      <sz val="12"/>
      <color theme="1"/>
      <name val="Bodoni MT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Bodoni MT"/>
      <family val="1"/>
    </font>
    <font>
      <b/>
      <sz val="12"/>
      <color theme="1"/>
      <name val="Calibri"/>
      <family val="2"/>
      <scheme val="minor"/>
    </font>
    <font>
      <b/>
      <sz val="16"/>
      <color rgb="FFFF0000"/>
      <name val="Bodoni MT"/>
      <family val="1"/>
    </font>
    <font>
      <sz val="16"/>
      <color theme="1"/>
      <name val="Arial"/>
      <family val="2"/>
    </font>
    <font>
      <sz val="16"/>
      <color theme="1"/>
      <name val="Bodoni MT"/>
      <family val="1"/>
    </font>
    <font>
      <b/>
      <sz val="14"/>
      <color rgb="FFFF0000"/>
      <name val="Arial"/>
      <family val="2"/>
    </font>
    <font>
      <b/>
      <sz val="16"/>
      <color theme="1"/>
      <name val="Bodoni MT"/>
      <family val="1"/>
    </font>
    <font>
      <sz val="12.5"/>
      <color theme="1"/>
      <name val="Bodoni MT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164" fontId="6" fillId="0" borderId="0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/>
    </xf>
    <xf numFmtId="164" fontId="8" fillId="0" borderId="0" xfId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9" fontId="14" fillId="3" borderId="0" xfId="0" applyNumberFormat="1" applyFont="1" applyFill="1" applyAlignment="1">
      <alignment horizontal="right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1" xfId="0" applyFont="1" applyBorder="1"/>
    <xf numFmtId="0" fontId="12" fillId="0" borderId="2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6" fillId="0" borderId="0" xfId="1" applyFont="1" applyBorder="1" applyAlignment="1">
      <alignment horizontal="right"/>
    </xf>
    <xf numFmtId="0" fontId="12" fillId="0" borderId="3" xfId="0" applyFont="1" applyBorder="1"/>
    <xf numFmtId="164" fontId="6" fillId="0" borderId="4" xfId="1" applyFont="1" applyBorder="1" applyAlignment="1">
      <alignment horizontal="right"/>
    </xf>
    <xf numFmtId="0" fontId="12" fillId="0" borderId="5" xfId="0" applyFont="1" applyBorder="1"/>
    <xf numFmtId="164" fontId="6" fillId="0" borderId="6" xfId="1" applyFont="1" applyBorder="1" applyAlignment="1">
      <alignment horizontal="right"/>
    </xf>
    <xf numFmtId="0" fontId="12" fillId="0" borderId="7" xfId="0" applyFont="1" applyBorder="1"/>
    <xf numFmtId="164" fontId="6" fillId="0" borderId="8" xfId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/>
    <xf numFmtId="0" fontId="12" fillId="4" borderId="0" xfId="0" applyFont="1" applyFill="1" applyAlignment="1">
      <alignment horizontal="center"/>
    </xf>
    <xf numFmtId="49" fontId="14" fillId="4" borderId="0" xfId="0" applyNumberFormat="1" applyFont="1" applyFill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8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 applyAlignment="1">
      <alignment horizontal="center"/>
    </xf>
    <xf numFmtId="164" fontId="15" fillId="0" borderId="0" xfId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164" fontId="15" fillId="0" borderId="0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8" fillId="0" borderId="0" xfId="1" applyNumberFormat="1" applyFont="1" applyBorder="1" applyAlignment="1">
      <alignment horizontal="center"/>
    </xf>
    <xf numFmtId="14" fontId="6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17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14" fontId="6" fillId="0" borderId="0" xfId="0" quotePrefix="1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textRotation="90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</cellXfs>
  <cellStyles count="4">
    <cellStyle name="Hipervínculo" xfId="2" builtinId="8" hidden="1"/>
    <cellStyle name="Hipervínculo visitado" xfId="3" builtinId="9" hidden="1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12699</xdr:rowOff>
    </xdr:from>
    <xdr:to>
      <xdr:col>3</xdr:col>
      <xdr:colOff>800099</xdr:colOff>
      <xdr:row>8</xdr:row>
      <xdr:rowOff>77474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2699"/>
          <a:ext cx="2971799" cy="1842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0</xdr:row>
      <xdr:rowOff>190499</xdr:rowOff>
    </xdr:from>
    <xdr:to>
      <xdr:col>3</xdr:col>
      <xdr:colOff>247649</xdr:colOff>
      <xdr:row>9</xdr:row>
      <xdr:rowOff>64774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190499"/>
          <a:ext cx="2978149" cy="184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showGridLines="0" view="pageBreakPreview" zoomScale="60" workbookViewId="0">
      <selection activeCell="D4" sqref="D4"/>
    </sheetView>
  </sheetViews>
  <sheetFormatPr baseColWidth="10" defaultColWidth="10.88671875" defaultRowHeight="14.4" x14ac:dyDescent="0.3"/>
  <cols>
    <col min="1" max="1" width="15.5546875" customWidth="1"/>
    <col min="2" max="2" width="14.4414062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0.88671875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9.2" x14ac:dyDescent="0.45">
      <c r="A3" s="4"/>
      <c r="B3" s="4"/>
      <c r="C3" s="64"/>
      <c r="D3" s="64"/>
      <c r="E3" s="64"/>
      <c r="F3" s="64"/>
      <c r="G3" s="4"/>
      <c r="H3" s="4"/>
    </row>
    <row r="4" spans="1:15" ht="18" customHeight="1" x14ac:dyDescent="0.35">
      <c r="A4" s="4"/>
      <c r="E4" s="8"/>
      <c r="F4" s="12" t="s">
        <v>16</v>
      </c>
    </row>
    <row r="5" spans="1:15" ht="19.350000000000001" customHeight="1" x14ac:dyDescent="0.35">
      <c r="A5" s="4"/>
      <c r="E5" s="8"/>
      <c r="F5" s="12" t="s">
        <v>20</v>
      </c>
      <c r="G5" s="5"/>
      <c r="H5" s="5"/>
    </row>
    <row r="6" spans="1:15" ht="20.100000000000001" customHeight="1" x14ac:dyDescent="0.35">
      <c r="A6" s="4"/>
      <c r="E6" s="8"/>
      <c r="F6" s="12" t="s">
        <v>30</v>
      </c>
    </row>
    <row r="7" spans="1:15" ht="18.600000000000001" customHeight="1" x14ac:dyDescent="0.35">
      <c r="A7" s="4"/>
      <c r="E7" s="8"/>
      <c r="F7" s="12" t="s">
        <v>31</v>
      </c>
      <c r="G7" s="65"/>
      <c r="H7" s="65"/>
    </row>
    <row r="8" spans="1:15" ht="15" customHeight="1" x14ac:dyDescent="0.3">
      <c r="A8" s="4"/>
      <c r="F8" s="4"/>
      <c r="G8" s="65"/>
      <c r="H8" s="65"/>
      <c r="K8" s="1"/>
    </row>
    <row r="9" spans="1:15" ht="15" customHeight="1" x14ac:dyDescent="0.3">
      <c r="A9" s="4"/>
      <c r="F9" s="4"/>
      <c r="G9" s="67" t="s">
        <v>32</v>
      </c>
      <c r="H9" s="67"/>
      <c r="K9" s="1"/>
    </row>
    <row r="10" spans="1:15" ht="35.4" customHeight="1" x14ac:dyDescent="0.3">
      <c r="A10" s="67" t="s">
        <v>27</v>
      </c>
      <c r="B10" s="67"/>
      <c r="C10" s="67"/>
      <c r="D10" s="67"/>
      <c r="F10" s="4"/>
      <c r="G10" s="67"/>
      <c r="H10" s="67"/>
      <c r="K10" s="1"/>
    </row>
    <row r="11" spans="1:15" ht="15" customHeight="1" x14ac:dyDescent="0.35">
      <c r="A11" s="54" t="s">
        <v>28</v>
      </c>
      <c r="B11" s="54"/>
      <c r="C11" s="54"/>
      <c r="D11" s="54"/>
      <c r="F11" s="4"/>
      <c r="G11" s="6"/>
      <c r="H11" s="5"/>
      <c r="K11" s="1"/>
      <c r="L11" s="4"/>
      <c r="M11" s="8"/>
      <c r="N11" s="8"/>
      <c r="O11" s="4"/>
    </row>
    <row r="12" spans="1:15" ht="24" customHeight="1" x14ac:dyDescent="0.4">
      <c r="A12" s="54" t="s">
        <v>29</v>
      </c>
      <c r="B12" s="54"/>
      <c r="C12" s="54"/>
      <c r="D12" s="54"/>
      <c r="E12" s="4"/>
      <c r="F12" s="4"/>
      <c r="G12" s="12" t="s">
        <v>10</v>
      </c>
      <c r="H12" s="14" t="s">
        <v>18</v>
      </c>
      <c r="K12" s="1"/>
      <c r="L12" s="4"/>
      <c r="M12" s="8"/>
      <c r="N12" s="2"/>
      <c r="O12" s="4"/>
    </row>
    <row r="13" spans="1:15" ht="15" customHeight="1" thickBot="1" x14ac:dyDescent="0.4">
      <c r="A13" s="22"/>
      <c r="B13" s="22"/>
      <c r="C13" s="22"/>
      <c r="D13" s="22"/>
      <c r="E13" s="22"/>
      <c r="F13" s="22"/>
      <c r="G13" s="23"/>
      <c r="H13" s="22"/>
      <c r="K13" s="1"/>
      <c r="L13" s="4"/>
      <c r="M13" s="8"/>
      <c r="N13" s="8"/>
      <c r="O13" s="4"/>
    </row>
    <row r="14" spans="1:15" ht="16.2" x14ac:dyDescent="0.35">
      <c r="A14" s="13" t="s">
        <v>0</v>
      </c>
      <c r="B14" s="5"/>
      <c r="C14" s="69"/>
      <c r="D14" s="52"/>
      <c r="E14" s="52"/>
      <c r="F14" s="52"/>
      <c r="G14" s="13" t="s">
        <v>3</v>
      </c>
      <c r="H14" s="18"/>
      <c r="I14" s="3"/>
      <c r="L14" s="4"/>
      <c r="M14" s="8"/>
      <c r="N14" s="8"/>
      <c r="O14" s="4"/>
    </row>
    <row r="15" spans="1:15" ht="16.2" x14ac:dyDescent="0.35">
      <c r="A15" s="13" t="s">
        <v>1</v>
      </c>
      <c r="B15" s="52"/>
      <c r="C15" s="52"/>
      <c r="D15" s="52"/>
      <c r="E15" s="52"/>
      <c r="F15" s="52"/>
      <c r="G15" s="13" t="s">
        <v>4</v>
      </c>
      <c r="H15" s="8"/>
      <c r="I15" s="3"/>
    </row>
    <row r="16" spans="1:15" ht="16.2" x14ac:dyDescent="0.35">
      <c r="A16" s="13" t="s">
        <v>2</v>
      </c>
      <c r="B16" s="52"/>
      <c r="C16" s="52"/>
      <c r="D16" s="52"/>
      <c r="E16" s="52"/>
      <c r="F16" s="52"/>
      <c r="G16" s="13" t="s">
        <v>5</v>
      </c>
      <c r="H16" s="19"/>
      <c r="I16" s="3"/>
    </row>
    <row r="17" spans="1:9" ht="9.6" customHeight="1" thickBot="1" x14ac:dyDescent="0.4">
      <c r="A17" s="20"/>
      <c r="B17" s="20"/>
      <c r="C17" s="20"/>
      <c r="D17" s="20"/>
      <c r="E17" s="20"/>
      <c r="F17" s="20"/>
      <c r="G17" s="20"/>
      <c r="H17" s="20"/>
      <c r="I17" s="3"/>
    </row>
    <row r="18" spans="1:9" ht="27" customHeight="1" thickBot="1" x14ac:dyDescent="0.35">
      <c r="A18" s="21" t="s">
        <v>6</v>
      </c>
      <c r="B18" s="58" t="s">
        <v>7</v>
      </c>
      <c r="C18" s="58"/>
      <c r="D18" s="58"/>
      <c r="E18" s="58"/>
      <c r="F18" s="58"/>
      <c r="G18" s="21" t="s">
        <v>8</v>
      </c>
      <c r="H18" s="21" t="s">
        <v>9</v>
      </c>
      <c r="I18" s="59" t="s">
        <v>14</v>
      </c>
    </row>
    <row r="19" spans="1:9" ht="32.1" customHeight="1" x14ac:dyDescent="0.3">
      <c r="A19" s="11"/>
      <c r="B19" s="71"/>
      <c r="C19" s="71"/>
      <c r="D19" s="71"/>
      <c r="E19" s="71"/>
      <c r="F19" s="71"/>
      <c r="G19" s="10"/>
      <c r="H19" s="10"/>
      <c r="I19" s="59"/>
    </row>
    <row r="20" spans="1:9" ht="15.6" x14ac:dyDescent="0.3">
      <c r="A20" s="11"/>
      <c r="B20" s="68"/>
      <c r="C20" s="68"/>
      <c r="D20" s="68"/>
      <c r="E20" s="68"/>
      <c r="F20" s="68"/>
      <c r="G20" s="10"/>
      <c r="H20" s="10"/>
      <c r="I20" s="59"/>
    </row>
    <row r="21" spans="1:9" ht="48.6" customHeight="1" x14ac:dyDescent="0.3">
      <c r="A21" s="11"/>
      <c r="B21" s="50"/>
      <c r="C21" s="50"/>
      <c r="D21" s="11"/>
      <c r="E21" s="11"/>
      <c r="F21" s="11"/>
      <c r="G21" s="10"/>
      <c r="H21" s="10"/>
      <c r="I21" s="59"/>
    </row>
    <row r="22" spans="1:9" ht="45.6" customHeight="1" x14ac:dyDescent="0.3">
      <c r="A22" s="11"/>
      <c r="B22" s="50"/>
      <c r="C22" s="50"/>
      <c r="D22" s="11"/>
      <c r="E22" s="11"/>
      <c r="F22" s="11"/>
      <c r="G22" s="10"/>
      <c r="H22" s="10"/>
      <c r="I22" s="59"/>
    </row>
    <row r="23" spans="1:9" ht="100.35" customHeight="1" x14ac:dyDescent="0.3">
      <c r="A23" s="11"/>
      <c r="B23" s="50"/>
      <c r="C23" s="50"/>
      <c r="D23" s="50"/>
      <c r="E23" s="50"/>
      <c r="F23" s="50"/>
      <c r="G23" s="10"/>
      <c r="H23" s="10"/>
      <c r="I23" s="59"/>
    </row>
    <row r="24" spans="1:9" ht="32.85" customHeight="1" x14ac:dyDescent="0.3">
      <c r="A24" s="11"/>
      <c r="B24" s="50"/>
      <c r="C24" s="50"/>
      <c r="D24" s="50"/>
      <c r="E24" s="50"/>
      <c r="F24" s="50"/>
      <c r="G24" s="10"/>
      <c r="H24" s="10"/>
      <c r="I24" s="59"/>
    </row>
    <row r="25" spans="1:9" ht="15.6" x14ac:dyDescent="0.3">
      <c r="A25" s="11"/>
      <c r="B25" s="50"/>
      <c r="C25" s="50"/>
      <c r="D25" s="50"/>
      <c r="E25" s="50"/>
      <c r="F25" s="50"/>
      <c r="G25" s="10"/>
      <c r="H25" s="10"/>
      <c r="I25" s="59"/>
    </row>
    <row r="26" spans="1:9" ht="15.6" x14ac:dyDescent="0.3">
      <c r="A26" s="11"/>
      <c r="B26" s="50"/>
      <c r="C26" s="50"/>
      <c r="D26" s="50"/>
      <c r="E26" s="50"/>
      <c r="F26" s="50"/>
      <c r="G26" s="10"/>
      <c r="H26" s="10"/>
      <c r="I26" s="59"/>
    </row>
    <row r="27" spans="1:9" ht="15.6" x14ac:dyDescent="0.3">
      <c r="A27" s="11"/>
      <c r="B27" s="50"/>
      <c r="C27" s="50"/>
      <c r="D27" s="50"/>
      <c r="E27" s="50"/>
      <c r="F27" s="50"/>
      <c r="G27" s="10"/>
      <c r="H27" s="10"/>
      <c r="I27" s="59"/>
    </row>
    <row r="28" spans="1:9" ht="15.6" x14ac:dyDescent="0.3">
      <c r="A28" s="11"/>
      <c r="B28" s="50"/>
      <c r="C28" s="50"/>
      <c r="D28" s="50"/>
      <c r="E28" s="50"/>
      <c r="F28" s="50"/>
      <c r="G28" s="10"/>
      <c r="H28" s="10"/>
      <c r="I28" s="59"/>
    </row>
    <row r="29" spans="1:9" ht="15.6" x14ac:dyDescent="0.3">
      <c r="A29" s="11"/>
      <c r="B29" s="50"/>
      <c r="C29" s="50"/>
      <c r="D29" s="50"/>
      <c r="E29" s="50"/>
      <c r="F29" s="50"/>
      <c r="G29" s="10"/>
      <c r="H29" s="10"/>
      <c r="I29" s="59"/>
    </row>
    <row r="30" spans="1:9" ht="15.6" x14ac:dyDescent="0.3">
      <c r="A30" s="11"/>
      <c r="B30" s="50"/>
      <c r="C30" s="50"/>
      <c r="D30" s="50"/>
      <c r="E30" s="50"/>
      <c r="F30" s="50"/>
      <c r="G30" s="10"/>
      <c r="H30" s="10"/>
      <c r="I30" s="59"/>
    </row>
    <row r="31" spans="1:9" ht="15.6" x14ac:dyDescent="0.3">
      <c r="A31" s="11"/>
      <c r="B31" s="50"/>
      <c r="C31" s="50"/>
      <c r="D31" s="50"/>
      <c r="E31" s="50"/>
      <c r="F31" s="50"/>
      <c r="G31" s="10"/>
      <c r="H31" s="10"/>
      <c r="I31" s="59"/>
    </row>
    <row r="32" spans="1:9" ht="15.6" x14ac:dyDescent="0.3">
      <c r="A32" s="11"/>
      <c r="B32" s="50"/>
      <c r="C32" s="50"/>
      <c r="D32" s="50"/>
      <c r="E32" s="50"/>
      <c r="F32" s="50"/>
      <c r="G32" s="10"/>
      <c r="H32" s="10"/>
      <c r="I32" s="59"/>
    </row>
    <row r="33" spans="1:9" ht="15.6" x14ac:dyDescent="0.3">
      <c r="A33" s="11"/>
      <c r="B33" s="50"/>
      <c r="C33" s="50"/>
      <c r="D33" s="50"/>
      <c r="E33" s="50"/>
      <c r="F33" s="50"/>
      <c r="G33" s="10"/>
      <c r="H33" s="10"/>
      <c r="I33" s="59"/>
    </row>
    <row r="34" spans="1:9" ht="132" customHeight="1" x14ac:dyDescent="0.3">
      <c r="A34" s="11"/>
      <c r="B34" s="50"/>
      <c r="C34" s="50"/>
      <c r="D34" s="50"/>
      <c r="E34" s="50"/>
      <c r="F34" s="50"/>
      <c r="G34" s="10"/>
      <c r="H34" s="10"/>
      <c r="I34" s="59"/>
    </row>
    <row r="35" spans="1:9" ht="16.2" x14ac:dyDescent="0.35">
      <c r="A35" s="8"/>
      <c r="B35" s="8"/>
      <c r="C35" s="8"/>
      <c r="D35" s="8"/>
      <c r="E35" s="8"/>
      <c r="F35" s="8"/>
      <c r="G35" s="7"/>
      <c r="H35" s="7"/>
      <c r="I35" s="59"/>
    </row>
    <row r="36" spans="1:9" ht="16.2" x14ac:dyDescent="0.35">
      <c r="A36" s="8"/>
      <c r="B36" s="8"/>
      <c r="C36" s="8"/>
      <c r="D36" s="8"/>
      <c r="E36" s="8"/>
      <c r="F36" s="8"/>
      <c r="G36" s="7"/>
      <c r="H36" s="7"/>
      <c r="I36" s="59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9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9"/>
    </row>
    <row r="39" spans="1:9" ht="16.2" x14ac:dyDescent="0.35">
      <c r="A39" s="8"/>
      <c r="B39" s="8"/>
      <c r="C39" s="8"/>
      <c r="D39" s="8"/>
      <c r="E39" s="8"/>
      <c r="F39" s="8"/>
      <c r="G39" s="7"/>
      <c r="H39" s="7"/>
      <c r="I39" s="59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9"/>
    </row>
    <row r="41" spans="1:9" ht="47.1" customHeight="1" x14ac:dyDescent="0.35">
      <c r="A41" s="8"/>
      <c r="B41" s="70"/>
      <c r="C41" s="70"/>
      <c r="D41" s="70"/>
      <c r="E41" s="70"/>
      <c r="F41" s="70"/>
      <c r="G41" s="70"/>
      <c r="H41" s="7"/>
      <c r="I41" s="59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9"/>
    </row>
    <row r="43" spans="1:9" ht="16.2" x14ac:dyDescent="0.35">
      <c r="A43" s="8"/>
      <c r="B43" s="52"/>
      <c r="C43" s="52"/>
      <c r="D43" s="52"/>
      <c r="E43" s="52"/>
      <c r="F43" s="52"/>
      <c r="G43" s="7"/>
      <c r="H43" s="7"/>
      <c r="I43" s="59"/>
    </row>
    <row r="44" spans="1:9" ht="16.2" x14ac:dyDescent="0.35">
      <c r="A44" s="8"/>
      <c r="B44" s="8"/>
      <c r="C44" s="8"/>
      <c r="D44" s="8"/>
      <c r="E44" s="8"/>
      <c r="F44" s="8"/>
      <c r="G44" s="7"/>
      <c r="H44" s="7"/>
      <c r="I44" s="59"/>
    </row>
    <row r="45" spans="1:9" ht="16.2" x14ac:dyDescent="0.35">
      <c r="A45" s="8"/>
      <c r="B45" s="8"/>
      <c r="C45" s="8"/>
      <c r="D45" s="8"/>
      <c r="E45" s="8"/>
      <c r="F45" s="8"/>
      <c r="G45" s="7"/>
      <c r="H45" s="7"/>
      <c r="I45" s="59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9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9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9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9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9"/>
    </row>
    <row r="51" spans="1:9" ht="16.2" x14ac:dyDescent="0.35">
      <c r="A51" s="8"/>
      <c r="B51" s="52"/>
      <c r="C51" s="52"/>
      <c r="D51" s="52"/>
      <c r="E51" s="52"/>
      <c r="F51" s="52"/>
      <c r="G51" s="7"/>
      <c r="H51" s="7"/>
      <c r="I51" s="59"/>
    </row>
    <row r="52" spans="1:9" ht="16.2" x14ac:dyDescent="0.35">
      <c r="A52" s="8"/>
      <c r="B52" s="52"/>
      <c r="C52" s="52"/>
      <c r="D52" s="52"/>
      <c r="E52" s="52"/>
      <c r="F52" s="52"/>
      <c r="G52" s="7"/>
      <c r="H52" s="7"/>
      <c r="I52" s="59"/>
    </row>
    <row r="53" spans="1:9" ht="15" customHeight="1" thickBot="1" x14ac:dyDescent="0.4">
      <c r="A53" s="31"/>
      <c r="B53" s="53"/>
      <c r="C53" s="53"/>
      <c r="D53" s="53"/>
      <c r="E53" s="53"/>
      <c r="F53" s="53"/>
      <c r="G53" s="7"/>
      <c r="H53" s="7"/>
      <c r="I53" s="59"/>
    </row>
    <row r="54" spans="1:9" ht="27" customHeight="1" x14ac:dyDescent="0.35">
      <c r="A54" s="15" t="s">
        <v>17</v>
      </c>
      <c r="B54" s="9"/>
      <c r="C54" s="8"/>
      <c r="D54" s="8"/>
      <c r="E54" s="8"/>
      <c r="F54" s="8"/>
      <c r="G54" s="25" t="s">
        <v>11</v>
      </c>
      <c r="H54" s="26">
        <f>+H19</f>
        <v>0</v>
      </c>
      <c r="I54" s="3"/>
    </row>
    <row r="55" spans="1:9" ht="25.35" customHeight="1" x14ac:dyDescent="0.35">
      <c r="A55" s="9"/>
      <c r="B55" s="9"/>
      <c r="C55" s="8"/>
      <c r="D55" s="8"/>
      <c r="E55" s="8"/>
      <c r="F55" s="8"/>
      <c r="G55" s="27" t="s">
        <v>12</v>
      </c>
      <c r="H55" s="28"/>
      <c r="I55" s="3"/>
    </row>
    <row r="56" spans="1:9" ht="28.35" customHeight="1" thickBot="1" x14ac:dyDescent="0.4">
      <c r="A56" s="9"/>
      <c r="B56" s="9"/>
      <c r="C56" s="8"/>
      <c r="D56" s="8"/>
      <c r="E56" s="8"/>
      <c r="F56" s="8"/>
      <c r="G56" s="29" t="s">
        <v>13</v>
      </c>
      <c r="H56" s="30">
        <f>+H54</f>
        <v>0</v>
      </c>
      <c r="I56" s="3"/>
    </row>
    <row r="57" spans="1:9" ht="29.1" customHeight="1" x14ac:dyDescent="0.35">
      <c r="A57" s="13" t="s">
        <v>33</v>
      </c>
      <c r="B57" s="13"/>
      <c r="C57" s="13"/>
      <c r="D57" s="13" t="s">
        <v>34</v>
      </c>
      <c r="E57" s="5"/>
      <c r="F57" s="5"/>
      <c r="G57" s="16"/>
      <c r="H57" s="5"/>
      <c r="I57" s="3"/>
    </row>
    <row r="58" spans="1:9" ht="16.2" x14ac:dyDescent="0.35">
      <c r="A58" s="48"/>
      <c r="B58" s="48"/>
      <c r="C58" s="48"/>
      <c r="D58" s="48"/>
      <c r="E58" s="48"/>
      <c r="F58" s="48"/>
      <c r="G58" s="5"/>
      <c r="H58" s="5"/>
      <c r="I58" s="3"/>
    </row>
    <row r="59" spans="1:9" ht="30.6" customHeight="1" x14ac:dyDescent="0.35">
      <c r="A59" s="5"/>
      <c r="B59" s="49" t="s">
        <v>15</v>
      </c>
      <c r="C59" s="49"/>
      <c r="D59" s="49"/>
      <c r="E59" s="49"/>
      <c r="F59" s="49"/>
      <c r="G59" s="49"/>
      <c r="H59" s="5"/>
      <c r="I59" s="3"/>
    </row>
  </sheetData>
  <mergeCells count="25">
    <mergeCell ref="B59:G59"/>
    <mergeCell ref="B51:F51"/>
    <mergeCell ref="B52:F52"/>
    <mergeCell ref="B53:F53"/>
    <mergeCell ref="B43:F43"/>
    <mergeCell ref="A58:C58"/>
    <mergeCell ref="D58:F58"/>
    <mergeCell ref="G7:H7"/>
    <mergeCell ref="G8:H8"/>
    <mergeCell ref="A10:D10"/>
    <mergeCell ref="G9:H10"/>
    <mergeCell ref="I18:I53"/>
    <mergeCell ref="B41:G41"/>
    <mergeCell ref="A11:D11"/>
    <mergeCell ref="A12:D12"/>
    <mergeCell ref="B21:C21"/>
    <mergeCell ref="B22:C22"/>
    <mergeCell ref="B23:F34"/>
    <mergeCell ref="B18:F18"/>
    <mergeCell ref="B19:F19"/>
    <mergeCell ref="C3:F3"/>
    <mergeCell ref="B20:F20"/>
    <mergeCell ref="C14:F14"/>
    <mergeCell ref="B15:F15"/>
    <mergeCell ref="B16:F16"/>
  </mergeCells>
  <phoneticPr fontId="9" type="noConversion"/>
  <printOptions horizontalCentered="1"/>
  <pageMargins left="0.70866141732283472" right="0.70866141732283472" top="0.74803149606299213" bottom="0.74803149606299213" header="0.31496062992125984" footer="0.31496062992125984"/>
  <pageSetup scale="4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showGridLines="0" view="pageBreakPreview" topLeftCell="A20" zoomScale="60" workbookViewId="0">
      <selection activeCell="B23" sqref="B23:F34"/>
    </sheetView>
  </sheetViews>
  <sheetFormatPr baseColWidth="10" defaultColWidth="10.88671875" defaultRowHeight="14.4" x14ac:dyDescent="0.3"/>
  <cols>
    <col min="1" max="1" width="15.5546875" customWidth="1"/>
    <col min="2" max="2" width="14.4414062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0.88671875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9.2" x14ac:dyDescent="0.45">
      <c r="A3" s="4"/>
      <c r="B3" s="4"/>
      <c r="C3" s="64"/>
      <c r="D3" s="64"/>
      <c r="E3" s="64"/>
      <c r="F3" s="64"/>
      <c r="G3" s="4"/>
      <c r="H3" s="4"/>
    </row>
    <row r="4" spans="1:15" ht="18" customHeight="1" x14ac:dyDescent="0.35">
      <c r="A4" s="4"/>
      <c r="E4" s="8"/>
      <c r="F4" s="12"/>
    </row>
    <row r="5" spans="1:15" ht="19.350000000000001" customHeight="1" x14ac:dyDescent="0.35">
      <c r="A5" s="4"/>
      <c r="E5" s="8"/>
      <c r="F5" s="12"/>
      <c r="G5" s="5"/>
      <c r="H5" s="5"/>
    </row>
    <row r="6" spans="1:15" ht="20.100000000000001" customHeight="1" x14ac:dyDescent="0.35">
      <c r="A6" s="4"/>
      <c r="E6" s="8"/>
      <c r="F6" s="12"/>
    </row>
    <row r="7" spans="1:15" ht="18.600000000000001" customHeight="1" x14ac:dyDescent="0.35">
      <c r="A7" s="4"/>
      <c r="E7" s="8"/>
      <c r="F7" s="12"/>
      <c r="G7" s="65"/>
      <c r="H7" s="65"/>
    </row>
    <row r="8" spans="1:15" ht="15" customHeight="1" x14ac:dyDescent="0.3">
      <c r="A8" s="4"/>
      <c r="F8" s="4"/>
      <c r="G8" s="65"/>
      <c r="H8" s="65"/>
      <c r="K8" s="1"/>
    </row>
    <row r="9" spans="1:15" ht="15" customHeight="1" x14ac:dyDescent="0.3">
      <c r="A9" s="4"/>
      <c r="F9" s="4"/>
      <c r="G9" s="73"/>
      <c r="H9" s="73"/>
      <c r="K9" s="1"/>
    </row>
    <row r="10" spans="1:15" ht="35.4" customHeight="1" x14ac:dyDescent="0.3">
      <c r="A10" s="67"/>
      <c r="B10" s="67"/>
      <c r="C10" s="67"/>
      <c r="D10" s="67"/>
      <c r="F10" s="4"/>
      <c r="G10" s="73"/>
      <c r="H10" s="73"/>
      <c r="K10" s="1"/>
    </row>
    <row r="11" spans="1:15" ht="15" customHeight="1" x14ac:dyDescent="0.35">
      <c r="A11" s="54"/>
      <c r="B11" s="54"/>
      <c r="C11" s="54"/>
      <c r="D11" s="54"/>
      <c r="F11" s="4"/>
      <c r="G11" s="32"/>
      <c r="H11" s="33"/>
      <c r="K11" s="1"/>
      <c r="L11" s="4"/>
      <c r="M11" s="8"/>
      <c r="N11" s="8"/>
      <c r="O11" s="4"/>
    </row>
    <row r="12" spans="1:15" ht="24" customHeight="1" x14ac:dyDescent="0.4">
      <c r="A12" s="54"/>
      <c r="B12" s="54"/>
      <c r="C12" s="54"/>
      <c r="D12" s="54"/>
      <c r="E12" s="4"/>
      <c r="F12" s="4"/>
      <c r="G12" s="34"/>
      <c r="H12" s="35"/>
      <c r="K12" s="1"/>
      <c r="L12" s="4"/>
      <c r="M12" s="8"/>
      <c r="N12" s="2"/>
      <c r="O12" s="4"/>
    </row>
    <row r="13" spans="1:15" ht="15" customHeight="1" x14ac:dyDescent="0.35">
      <c r="A13" s="4"/>
      <c r="B13" s="4"/>
      <c r="C13" s="4"/>
      <c r="D13" s="4"/>
      <c r="E13" s="4"/>
      <c r="F13" s="4"/>
      <c r="G13" s="36"/>
      <c r="H13" s="4"/>
      <c r="K13" s="1"/>
      <c r="L13" s="4"/>
      <c r="M13" s="8"/>
      <c r="N13" s="8"/>
      <c r="O13" s="4"/>
    </row>
    <row r="14" spans="1:15" ht="16.2" x14ac:dyDescent="0.35">
      <c r="A14" s="13"/>
      <c r="B14" s="5"/>
      <c r="C14" s="69">
        <v>43914</v>
      </c>
      <c r="D14" s="52"/>
      <c r="E14" s="52"/>
      <c r="F14" s="52"/>
      <c r="G14" s="13"/>
      <c r="H14" s="18">
        <v>43945</v>
      </c>
      <c r="I14" s="3"/>
      <c r="L14" s="4"/>
      <c r="M14" s="8"/>
      <c r="N14" s="8"/>
      <c r="O14" s="4"/>
    </row>
    <row r="15" spans="1:15" ht="16.2" x14ac:dyDescent="0.35">
      <c r="A15" s="13"/>
      <c r="B15" s="52" t="s">
        <v>19</v>
      </c>
      <c r="C15" s="52"/>
      <c r="D15" s="52"/>
      <c r="E15" s="52"/>
      <c r="F15" s="52"/>
      <c r="G15" s="13"/>
      <c r="H15" s="8"/>
      <c r="I15" s="3"/>
    </row>
    <row r="16" spans="1:15" ht="16.2" x14ac:dyDescent="0.35">
      <c r="A16" s="13"/>
      <c r="B16" s="52" t="s">
        <v>21</v>
      </c>
      <c r="C16" s="52"/>
      <c r="D16" s="52"/>
      <c r="E16" s="52"/>
      <c r="F16" s="52"/>
      <c r="G16" s="13"/>
      <c r="H16" s="19">
        <v>7877462636</v>
      </c>
      <c r="I16" s="3"/>
    </row>
    <row r="17" spans="1:9" ht="9.6" customHeight="1" x14ac:dyDescent="0.35">
      <c r="A17" s="5"/>
      <c r="B17" s="5"/>
      <c r="C17" s="5"/>
      <c r="D17" s="5"/>
      <c r="E17" s="5"/>
      <c r="F17" s="5"/>
      <c r="G17" s="5"/>
      <c r="H17" s="5"/>
      <c r="I17" s="3"/>
    </row>
    <row r="18" spans="1:9" ht="27" customHeight="1" x14ac:dyDescent="0.3">
      <c r="A18" s="17"/>
      <c r="B18" s="72"/>
      <c r="C18" s="72"/>
      <c r="D18" s="72"/>
      <c r="E18" s="72"/>
      <c r="F18" s="72"/>
      <c r="G18" s="17"/>
      <c r="H18" s="17"/>
      <c r="I18" s="59"/>
    </row>
    <row r="19" spans="1:9" ht="32.1" customHeight="1" x14ac:dyDescent="0.3">
      <c r="A19" s="11">
        <v>1080</v>
      </c>
      <c r="B19" s="71" t="s">
        <v>22</v>
      </c>
      <c r="C19" s="71"/>
      <c r="D19" s="71"/>
      <c r="E19" s="71"/>
      <c r="F19" s="71"/>
      <c r="G19" s="10" t="s">
        <v>36</v>
      </c>
      <c r="H19" s="10" t="s">
        <v>35</v>
      </c>
      <c r="I19" s="59"/>
    </row>
    <row r="20" spans="1:9" ht="15.6" x14ac:dyDescent="0.3">
      <c r="A20" s="11"/>
      <c r="B20" s="68"/>
      <c r="C20" s="68"/>
      <c r="D20" s="68"/>
      <c r="E20" s="68"/>
      <c r="F20" s="68"/>
      <c r="G20" s="10"/>
      <c r="H20" s="10"/>
      <c r="I20" s="59"/>
    </row>
    <row r="21" spans="1:9" ht="48.6" customHeight="1" x14ac:dyDescent="0.3">
      <c r="A21" s="11"/>
      <c r="B21" s="50" t="s">
        <v>23</v>
      </c>
      <c r="C21" s="50"/>
      <c r="D21" s="11"/>
      <c r="E21" s="11"/>
      <c r="F21" s="11"/>
      <c r="G21" s="10"/>
      <c r="H21" s="10"/>
      <c r="I21" s="59"/>
    </row>
    <row r="22" spans="1:9" ht="45.6" customHeight="1" x14ac:dyDescent="0.3">
      <c r="A22" s="11"/>
      <c r="B22" s="50" t="s">
        <v>24</v>
      </c>
      <c r="C22" s="50"/>
      <c r="D22" s="11"/>
      <c r="E22" s="11"/>
      <c r="F22" s="11"/>
      <c r="G22" s="10"/>
      <c r="H22" s="10"/>
      <c r="I22" s="59"/>
    </row>
    <row r="23" spans="1:9" ht="100.35" customHeight="1" x14ac:dyDescent="0.3">
      <c r="A23" s="11"/>
      <c r="B23" s="50" t="s">
        <v>38</v>
      </c>
      <c r="C23" s="50"/>
      <c r="D23" s="50"/>
      <c r="E23" s="50"/>
      <c r="F23" s="50"/>
      <c r="G23" s="10"/>
      <c r="H23" s="10"/>
      <c r="I23" s="59"/>
    </row>
    <row r="24" spans="1:9" ht="32.85" customHeight="1" x14ac:dyDescent="0.3">
      <c r="A24" s="11"/>
      <c r="B24" s="50"/>
      <c r="C24" s="50"/>
      <c r="D24" s="50"/>
      <c r="E24" s="50"/>
      <c r="F24" s="50"/>
      <c r="G24" s="10"/>
      <c r="H24" s="10"/>
      <c r="I24" s="59"/>
    </row>
    <row r="25" spans="1:9" ht="15.6" x14ac:dyDescent="0.3">
      <c r="A25" s="11"/>
      <c r="B25" s="50"/>
      <c r="C25" s="50"/>
      <c r="D25" s="50"/>
      <c r="E25" s="50"/>
      <c r="F25" s="50"/>
      <c r="G25" s="10"/>
      <c r="H25" s="10"/>
      <c r="I25" s="59"/>
    </row>
    <row r="26" spans="1:9" ht="15.6" x14ac:dyDescent="0.3">
      <c r="A26" s="11"/>
      <c r="B26" s="50"/>
      <c r="C26" s="50"/>
      <c r="D26" s="50"/>
      <c r="E26" s="50"/>
      <c r="F26" s="50"/>
      <c r="G26" s="10"/>
      <c r="H26" s="10"/>
      <c r="I26" s="59"/>
    </row>
    <row r="27" spans="1:9" ht="15.6" x14ac:dyDescent="0.3">
      <c r="A27" s="11"/>
      <c r="B27" s="50"/>
      <c r="C27" s="50"/>
      <c r="D27" s="50"/>
      <c r="E27" s="50"/>
      <c r="F27" s="50"/>
      <c r="G27" s="10"/>
      <c r="H27" s="10"/>
      <c r="I27" s="59"/>
    </row>
    <row r="28" spans="1:9" ht="15.6" x14ac:dyDescent="0.3">
      <c r="A28" s="11"/>
      <c r="B28" s="50"/>
      <c r="C28" s="50"/>
      <c r="D28" s="50"/>
      <c r="E28" s="50"/>
      <c r="F28" s="50"/>
      <c r="G28" s="10"/>
      <c r="H28" s="10"/>
      <c r="I28" s="59"/>
    </row>
    <row r="29" spans="1:9" ht="15.6" x14ac:dyDescent="0.3">
      <c r="A29" s="11"/>
      <c r="B29" s="50"/>
      <c r="C29" s="50"/>
      <c r="D29" s="50"/>
      <c r="E29" s="50"/>
      <c r="F29" s="50"/>
      <c r="G29" s="10"/>
      <c r="H29" s="10"/>
      <c r="I29" s="59"/>
    </row>
    <row r="30" spans="1:9" ht="15.6" x14ac:dyDescent="0.3">
      <c r="A30" s="11"/>
      <c r="B30" s="50"/>
      <c r="C30" s="50"/>
      <c r="D30" s="50"/>
      <c r="E30" s="50"/>
      <c r="F30" s="50"/>
      <c r="G30" s="10"/>
      <c r="H30" s="10"/>
      <c r="I30" s="59"/>
    </row>
    <row r="31" spans="1:9" ht="15.6" x14ac:dyDescent="0.3">
      <c r="A31" s="11"/>
      <c r="B31" s="50"/>
      <c r="C31" s="50"/>
      <c r="D31" s="50"/>
      <c r="E31" s="50"/>
      <c r="F31" s="50"/>
      <c r="G31" s="10"/>
      <c r="H31" s="10"/>
      <c r="I31" s="59"/>
    </row>
    <row r="32" spans="1:9" ht="15.6" x14ac:dyDescent="0.3">
      <c r="A32" s="11"/>
      <c r="B32" s="50"/>
      <c r="C32" s="50"/>
      <c r="D32" s="50"/>
      <c r="E32" s="50"/>
      <c r="F32" s="50"/>
      <c r="G32" s="10"/>
      <c r="H32" s="10"/>
      <c r="I32" s="59"/>
    </row>
    <row r="33" spans="1:9" ht="15.6" x14ac:dyDescent="0.3">
      <c r="A33" s="11"/>
      <c r="B33" s="50"/>
      <c r="C33" s="50"/>
      <c r="D33" s="50"/>
      <c r="E33" s="50"/>
      <c r="F33" s="50"/>
      <c r="G33" s="10"/>
      <c r="H33" s="10"/>
      <c r="I33" s="59"/>
    </row>
    <row r="34" spans="1:9" ht="132" customHeight="1" x14ac:dyDescent="0.3">
      <c r="A34" s="11"/>
      <c r="B34" s="50"/>
      <c r="C34" s="50"/>
      <c r="D34" s="50"/>
      <c r="E34" s="50"/>
      <c r="F34" s="50"/>
      <c r="G34" s="10"/>
      <c r="H34" s="10"/>
      <c r="I34" s="59"/>
    </row>
    <row r="35" spans="1:9" ht="16.2" x14ac:dyDescent="0.35">
      <c r="A35" s="8"/>
      <c r="B35" s="8"/>
      <c r="C35" s="8"/>
      <c r="D35" s="8"/>
      <c r="E35" s="8"/>
      <c r="F35" s="8"/>
      <c r="G35" s="7"/>
      <c r="H35" s="7"/>
      <c r="I35" s="59"/>
    </row>
    <row r="36" spans="1:9" ht="16.2" x14ac:dyDescent="0.35">
      <c r="A36" s="8"/>
      <c r="B36" s="8"/>
      <c r="C36" s="8"/>
      <c r="D36" s="8"/>
      <c r="E36" s="8"/>
      <c r="F36" s="8"/>
      <c r="G36" s="7"/>
      <c r="H36" s="7"/>
      <c r="I36" s="59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9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9"/>
    </row>
    <row r="39" spans="1:9" ht="16.2" x14ac:dyDescent="0.35">
      <c r="A39" s="8"/>
      <c r="B39" s="8"/>
      <c r="C39" s="8"/>
      <c r="D39" s="8"/>
      <c r="E39" s="8"/>
      <c r="F39" s="8"/>
      <c r="G39" s="7"/>
      <c r="H39" s="7"/>
      <c r="I39" s="59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9"/>
    </row>
    <row r="41" spans="1:9" ht="47.1" customHeight="1" x14ac:dyDescent="0.35">
      <c r="A41" s="8"/>
      <c r="B41" s="70" t="s">
        <v>25</v>
      </c>
      <c r="C41" s="70"/>
      <c r="D41" s="70"/>
      <c r="E41" s="70"/>
      <c r="F41" s="70"/>
      <c r="G41" s="70"/>
      <c r="H41" s="7"/>
      <c r="I41" s="59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9"/>
    </row>
    <row r="43" spans="1:9" ht="16.2" x14ac:dyDescent="0.35">
      <c r="A43" s="8"/>
      <c r="B43" s="52"/>
      <c r="C43" s="52"/>
      <c r="D43" s="52"/>
      <c r="E43" s="52"/>
      <c r="F43" s="52"/>
      <c r="G43" s="7"/>
      <c r="H43" s="7"/>
      <c r="I43" s="59"/>
    </row>
    <row r="44" spans="1:9" ht="16.2" x14ac:dyDescent="0.35">
      <c r="A44" s="8"/>
      <c r="B44" s="8"/>
      <c r="C44" s="8"/>
      <c r="D44" s="8"/>
      <c r="E44" s="8"/>
      <c r="F44" s="8"/>
      <c r="G44" s="7"/>
      <c r="H44" s="7"/>
      <c r="I44" s="59"/>
    </row>
    <row r="45" spans="1:9" ht="16.2" x14ac:dyDescent="0.35">
      <c r="A45" s="8"/>
      <c r="B45" s="8"/>
      <c r="C45" s="8"/>
      <c r="D45" s="8"/>
      <c r="E45" s="8"/>
      <c r="F45" s="8"/>
      <c r="G45" s="7"/>
      <c r="H45" s="7"/>
      <c r="I45" s="59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9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9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9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9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9"/>
    </row>
    <row r="51" spans="1:9" ht="16.2" x14ac:dyDescent="0.35">
      <c r="A51" s="8"/>
      <c r="B51" s="52"/>
      <c r="C51" s="52"/>
      <c r="D51" s="52"/>
      <c r="E51" s="52"/>
      <c r="F51" s="52"/>
      <c r="G51" s="7"/>
      <c r="H51" s="7"/>
      <c r="I51" s="59"/>
    </row>
    <row r="52" spans="1:9" ht="16.2" x14ac:dyDescent="0.35">
      <c r="A52" s="8"/>
      <c r="B52" s="52"/>
      <c r="C52" s="52"/>
      <c r="D52" s="52"/>
      <c r="E52" s="52"/>
      <c r="F52" s="52"/>
      <c r="G52" s="7"/>
      <c r="H52" s="7"/>
      <c r="I52" s="59"/>
    </row>
    <row r="53" spans="1:9" ht="15" customHeight="1" x14ac:dyDescent="0.35">
      <c r="A53" s="8"/>
      <c r="B53" s="52"/>
      <c r="C53" s="52"/>
      <c r="D53" s="52"/>
      <c r="E53" s="52"/>
      <c r="F53" s="52"/>
      <c r="G53" s="7"/>
      <c r="H53" s="7"/>
      <c r="I53" s="59"/>
    </row>
    <row r="54" spans="1:9" ht="27" customHeight="1" x14ac:dyDescent="0.35">
      <c r="A54" s="15"/>
      <c r="B54" s="9" t="s">
        <v>26</v>
      </c>
      <c r="C54" s="8"/>
      <c r="D54" s="8"/>
      <c r="E54" s="8"/>
      <c r="F54" s="8"/>
      <c r="G54" s="13"/>
      <c r="H54" s="24" t="str">
        <f>+H19</f>
        <v>USD 10.800</v>
      </c>
      <c r="I54" s="3"/>
    </row>
    <row r="55" spans="1:9" ht="25.35" customHeight="1" x14ac:dyDescent="0.35">
      <c r="A55" s="9"/>
      <c r="B55" s="9"/>
      <c r="C55" s="8"/>
      <c r="D55" s="8"/>
      <c r="E55" s="8"/>
      <c r="F55" s="8"/>
      <c r="G55" s="13"/>
      <c r="H55" s="24"/>
      <c r="I55" s="3"/>
    </row>
    <row r="56" spans="1:9" ht="28.35" customHeight="1" x14ac:dyDescent="0.35">
      <c r="A56" s="9"/>
      <c r="B56" s="9"/>
      <c r="C56" s="8"/>
      <c r="D56" s="8"/>
      <c r="E56" s="8"/>
      <c r="F56" s="8"/>
      <c r="G56" s="13"/>
      <c r="H56" s="24" t="str">
        <f>+H54</f>
        <v>USD 10.800</v>
      </c>
      <c r="I56" s="3"/>
    </row>
    <row r="57" spans="1:9" ht="29.1" customHeight="1" x14ac:dyDescent="0.35">
      <c r="A57" s="13"/>
      <c r="B57" s="13"/>
      <c r="C57" s="13"/>
      <c r="D57" s="13"/>
      <c r="E57" s="5"/>
      <c r="F57" s="5"/>
      <c r="G57" s="16"/>
      <c r="H57" s="5"/>
      <c r="I57" s="3"/>
    </row>
    <row r="58" spans="1:9" ht="16.2" x14ac:dyDescent="0.35">
      <c r="A58" s="48"/>
      <c r="B58" s="48"/>
      <c r="C58" s="48"/>
      <c r="D58" s="48"/>
      <c r="E58" s="48"/>
      <c r="F58" s="48"/>
      <c r="G58" s="5"/>
      <c r="H58" s="5"/>
      <c r="I58" s="3"/>
    </row>
    <row r="59" spans="1:9" ht="30.6" customHeight="1" x14ac:dyDescent="0.35">
      <c r="A59" s="5"/>
      <c r="B59" s="49"/>
      <c r="C59" s="49"/>
      <c r="D59" s="49"/>
      <c r="E59" s="49"/>
      <c r="F59" s="49"/>
      <c r="G59" s="49"/>
      <c r="H59" s="5"/>
      <c r="I59" s="3"/>
    </row>
  </sheetData>
  <mergeCells count="25">
    <mergeCell ref="A11:D11"/>
    <mergeCell ref="C3:F3"/>
    <mergeCell ref="G7:H7"/>
    <mergeCell ref="G8:H8"/>
    <mergeCell ref="G9:H10"/>
    <mergeCell ref="A10:D10"/>
    <mergeCell ref="I18:I53"/>
    <mergeCell ref="B19:F19"/>
    <mergeCell ref="B20:F20"/>
    <mergeCell ref="B21:C21"/>
    <mergeCell ref="B22:C22"/>
    <mergeCell ref="A12:D12"/>
    <mergeCell ref="C14:F14"/>
    <mergeCell ref="B15:F15"/>
    <mergeCell ref="B16:F16"/>
    <mergeCell ref="B18:F18"/>
    <mergeCell ref="A58:C58"/>
    <mergeCell ref="D58:F58"/>
    <mergeCell ref="B59:G59"/>
    <mergeCell ref="B23:F34"/>
    <mergeCell ref="B41:G41"/>
    <mergeCell ref="B43:F43"/>
    <mergeCell ref="B51:F51"/>
    <mergeCell ref="B52:F52"/>
    <mergeCell ref="B53:F53"/>
  </mergeCells>
  <printOptions horizontalCentered="1"/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&amp;C&amp;20
&amp;24&amp;K02-021PRE-FORMA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6"/>
  <sheetViews>
    <sheetView showGridLines="0" tabSelected="1" view="pageBreakPreview" zoomScale="80" zoomScaleSheetLayoutView="80" workbookViewId="0">
      <selection activeCell="G20" sqref="G20"/>
    </sheetView>
  </sheetViews>
  <sheetFormatPr baseColWidth="10" defaultColWidth="10.88671875" defaultRowHeight="14.4" x14ac:dyDescent="0.3"/>
  <cols>
    <col min="1" max="1" width="15.5546875" customWidth="1"/>
    <col min="2" max="2" width="22.10937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3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9.2" x14ac:dyDescent="0.45">
      <c r="A3" s="4"/>
      <c r="B3" s="4"/>
      <c r="C3" s="64"/>
      <c r="D3" s="64"/>
      <c r="E3" s="64"/>
      <c r="F3" s="64"/>
      <c r="G3" s="4"/>
      <c r="H3" s="4"/>
    </row>
    <row r="4" spans="1:15" ht="18" customHeight="1" x14ac:dyDescent="0.4">
      <c r="A4" s="4"/>
      <c r="E4" s="8"/>
      <c r="F4" s="39" t="s">
        <v>16</v>
      </c>
    </row>
    <row r="5" spans="1:15" ht="19.350000000000001" customHeight="1" x14ac:dyDescent="0.4">
      <c r="A5" s="4"/>
      <c r="E5" s="8"/>
      <c r="F5" s="39" t="s">
        <v>46</v>
      </c>
      <c r="G5" s="5"/>
      <c r="H5" s="5"/>
    </row>
    <row r="6" spans="1:15" ht="20.100000000000001" customHeight="1" x14ac:dyDescent="0.4">
      <c r="A6" s="4"/>
      <c r="E6" s="8"/>
      <c r="F6" s="39" t="s">
        <v>47</v>
      </c>
    </row>
    <row r="7" spans="1:15" ht="18.600000000000001" customHeight="1" x14ac:dyDescent="0.4">
      <c r="A7" s="4"/>
      <c r="E7" s="8"/>
      <c r="F7" s="39" t="s">
        <v>31</v>
      </c>
      <c r="G7" s="65"/>
      <c r="H7" s="65"/>
    </row>
    <row r="8" spans="1:15" ht="15" customHeight="1" x14ac:dyDescent="0.3">
      <c r="A8" s="4"/>
      <c r="F8" s="4"/>
      <c r="G8" s="65"/>
      <c r="H8" s="65"/>
      <c r="K8" s="1"/>
    </row>
    <row r="9" spans="1:15" ht="15" customHeight="1" x14ac:dyDescent="0.3">
      <c r="A9" s="4"/>
      <c r="F9" s="4"/>
      <c r="G9" s="66" t="s">
        <v>40</v>
      </c>
      <c r="H9" s="67"/>
      <c r="K9" s="1"/>
    </row>
    <row r="10" spans="1:15" ht="35.4" customHeight="1" x14ac:dyDescent="0.3">
      <c r="A10" s="67" t="s">
        <v>27</v>
      </c>
      <c r="B10" s="67"/>
      <c r="C10" s="67"/>
      <c r="D10" s="67"/>
      <c r="F10" s="4"/>
      <c r="G10" s="67"/>
      <c r="H10" s="67"/>
      <c r="K10" s="1"/>
    </row>
    <row r="11" spans="1:15" ht="15" customHeight="1" x14ac:dyDescent="0.35">
      <c r="A11" s="54" t="s">
        <v>41</v>
      </c>
      <c r="B11" s="54"/>
      <c r="C11" s="54"/>
      <c r="D11" s="54"/>
      <c r="F11" s="4"/>
      <c r="G11" s="6"/>
      <c r="H11" s="5"/>
      <c r="K11" s="1"/>
      <c r="L11" s="4"/>
      <c r="M11" s="8"/>
      <c r="N11" s="8"/>
      <c r="O11" s="4"/>
    </row>
    <row r="12" spans="1:15" ht="24" customHeight="1" x14ac:dyDescent="0.4">
      <c r="A12" s="54" t="s">
        <v>29</v>
      </c>
      <c r="B12" s="54"/>
      <c r="C12" s="54"/>
      <c r="D12" s="54"/>
      <c r="E12" s="4"/>
      <c r="F12" s="4"/>
      <c r="G12" s="12" t="s">
        <v>42</v>
      </c>
      <c r="H12" s="14" t="s">
        <v>54</v>
      </c>
      <c r="K12" s="1"/>
      <c r="L12" s="4"/>
      <c r="M12" s="8"/>
      <c r="N12" s="2"/>
      <c r="O12" s="4"/>
    </row>
    <row r="13" spans="1:15" ht="15" customHeight="1" thickBot="1" x14ac:dyDescent="0.4">
      <c r="A13" s="22"/>
      <c r="B13" s="22"/>
      <c r="C13" s="22"/>
      <c r="D13" s="22"/>
      <c r="E13" s="22"/>
      <c r="F13" s="22"/>
      <c r="G13" s="23"/>
      <c r="H13" s="22"/>
      <c r="K13" s="1"/>
      <c r="L13" s="4"/>
      <c r="M13" s="8"/>
      <c r="N13" s="8"/>
      <c r="O13" s="4"/>
    </row>
    <row r="14" spans="1:15" ht="16.2" x14ac:dyDescent="0.35">
      <c r="A14" s="13" t="s">
        <v>0</v>
      </c>
      <c r="B14" s="5"/>
      <c r="C14" s="55" t="s">
        <v>52</v>
      </c>
      <c r="D14" s="52"/>
      <c r="E14" s="52"/>
      <c r="F14" s="52"/>
      <c r="G14" s="13" t="s">
        <v>3</v>
      </c>
      <c r="H14" s="47" t="s">
        <v>53</v>
      </c>
      <c r="I14" s="3"/>
      <c r="L14" s="4"/>
      <c r="M14" s="8"/>
      <c r="N14" s="8"/>
      <c r="O14" s="4"/>
    </row>
    <row r="15" spans="1:15" ht="21" x14ac:dyDescent="0.4">
      <c r="A15" s="13" t="s">
        <v>1</v>
      </c>
      <c r="B15" s="56" t="s">
        <v>45</v>
      </c>
      <c r="C15" s="52"/>
      <c r="D15" s="52"/>
      <c r="E15" s="52"/>
      <c r="F15" s="52"/>
      <c r="G15" s="13" t="s">
        <v>4</v>
      </c>
      <c r="H15" s="8"/>
      <c r="I15" s="3"/>
    </row>
    <row r="16" spans="1:15" ht="16.8" x14ac:dyDescent="0.35">
      <c r="A16" s="13" t="s">
        <v>2</v>
      </c>
      <c r="B16" s="57" t="s">
        <v>49</v>
      </c>
      <c r="C16" s="57"/>
      <c r="D16" s="57"/>
      <c r="E16" s="57"/>
      <c r="F16" s="57"/>
      <c r="G16" s="13" t="s">
        <v>5</v>
      </c>
      <c r="H16" s="19">
        <v>7867102522</v>
      </c>
      <c r="I16" s="3"/>
    </row>
    <row r="17" spans="1:9" ht="9.6" customHeight="1" thickBot="1" x14ac:dyDescent="0.4">
      <c r="A17" s="20"/>
      <c r="B17" s="20"/>
      <c r="C17" s="20"/>
      <c r="D17" s="20"/>
      <c r="E17" s="20"/>
      <c r="F17" s="20"/>
      <c r="G17" s="20"/>
      <c r="H17" s="20"/>
      <c r="I17" s="3"/>
    </row>
    <row r="18" spans="1:9" ht="27" customHeight="1" thickBot="1" x14ac:dyDescent="0.35">
      <c r="A18" s="21" t="s">
        <v>6</v>
      </c>
      <c r="B18" s="58" t="s">
        <v>7</v>
      </c>
      <c r="C18" s="58"/>
      <c r="D18" s="58"/>
      <c r="E18" s="58"/>
      <c r="F18" s="58"/>
      <c r="G18" s="21" t="s">
        <v>8</v>
      </c>
      <c r="H18" s="21" t="s">
        <v>9</v>
      </c>
      <c r="I18" s="59" t="s">
        <v>14</v>
      </c>
    </row>
    <row r="19" spans="1:9" ht="40.65" customHeight="1" x14ac:dyDescent="0.3">
      <c r="A19" s="41">
        <v>1400</v>
      </c>
      <c r="B19" s="60" t="s">
        <v>48</v>
      </c>
      <c r="C19" s="61"/>
      <c r="D19" s="61"/>
      <c r="E19" s="61"/>
      <c r="F19" s="61"/>
      <c r="G19" s="42">
        <v>20</v>
      </c>
      <c r="H19" s="42">
        <f>+G19*A19</f>
        <v>28000</v>
      </c>
      <c r="I19" s="59"/>
    </row>
    <row r="20" spans="1:9" ht="42.6" customHeight="1" x14ac:dyDescent="0.3">
      <c r="A20" s="41"/>
      <c r="B20" s="60"/>
      <c r="C20" s="61"/>
      <c r="D20" s="61"/>
      <c r="E20" s="61"/>
      <c r="F20" s="61"/>
      <c r="G20" s="42"/>
      <c r="H20" s="42"/>
      <c r="I20" s="59"/>
    </row>
    <row r="21" spans="1:9" ht="34.35" customHeight="1" x14ac:dyDescent="0.3">
      <c r="A21" s="41"/>
      <c r="B21" s="60"/>
      <c r="C21" s="60"/>
      <c r="D21" s="60"/>
      <c r="E21" s="60"/>
      <c r="F21" s="60"/>
      <c r="G21" s="42"/>
      <c r="H21" s="42"/>
      <c r="I21" s="59"/>
    </row>
    <row r="22" spans="1:9" ht="34.35" customHeight="1" x14ac:dyDescent="0.3">
      <c r="A22" s="41"/>
      <c r="B22" s="43"/>
      <c r="C22" s="43"/>
      <c r="D22" s="43"/>
      <c r="E22" s="43"/>
      <c r="F22" s="43"/>
      <c r="G22" s="42"/>
      <c r="H22" s="42"/>
      <c r="I22" s="59"/>
    </row>
    <row r="23" spans="1:9" ht="45.6" customHeight="1" x14ac:dyDescent="0.35">
      <c r="A23" s="11"/>
      <c r="B23" s="62" t="s">
        <v>43</v>
      </c>
      <c r="C23" s="50"/>
      <c r="D23" s="11"/>
      <c r="E23" s="11"/>
      <c r="F23" s="11"/>
      <c r="G23" s="46"/>
      <c r="H23" s="40"/>
      <c r="I23" s="59"/>
    </row>
    <row r="24" spans="1:9" ht="45.6" customHeight="1" x14ac:dyDescent="0.35">
      <c r="A24" s="11"/>
      <c r="B24" s="45" t="s">
        <v>44</v>
      </c>
      <c r="C24" s="44"/>
      <c r="D24" s="11"/>
      <c r="E24" s="11"/>
      <c r="F24" s="11"/>
      <c r="G24" s="46"/>
      <c r="H24" s="40"/>
      <c r="I24" s="59"/>
    </row>
    <row r="25" spans="1:9" ht="27.6" customHeight="1" x14ac:dyDescent="0.3">
      <c r="A25" s="11"/>
      <c r="B25" s="50" t="s">
        <v>50</v>
      </c>
      <c r="C25" s="50"/>
      <c r="D25" s="50"/>
      <c r="E25" s="50"/>
      <c r="F25" s="50"/>
      <c r="G25" s="10"/>
      <c r="H25" s="10"/>
      <c r="I25" s="59"/>
    </row>
    <row r="26" spans="1:9" ht="32.85" customHeight="1" x14ac:dyDescent="0.3">
      <c r="A26" s="11"/>
      <c r="B26" s="50"/>
      <c r="C26" s="50"/>
      <c r="D26" s="50"/>
      <c r="E26" s="50"/>
      <c r="F26" s="50"/>
      <c r="G26" s="10"/>
      <c r="H26" s="10"/>
      <c r="I26" s="59"/>
    </row>
    <row r="27" spans="1:9" ht="15.6" x14ac:dyDescent="0.3">
      <c r="A27" s="11"/>
      <c r="B27" s="50"/>
      <c r="C27" s="50"/>
      <c r="D27" s="50"/>
      <c r="E27" s="50"/>
      <c r="F27" s="50"/>
      <c r="G27" s="10"/>
      <c r="H27" s="10"/>
      <c r="I27" s="59"/>
    </row>
    <row r="28" spans="1:9" ht="15.6" x14ac:dyDescent="0.3">
      <c r="A28" s="11"/>
      <c r="B28" s="50"/>
      <c r="C28" s="50"/>
      <c r="D28" s="50"/>
      <c r="E28" s="50"/>
      <c r="F28" s="50"/>
      <c r="G28" s="10"/>
      <c r="H28" s="10"/>
      <c r="I28" s="59"/>
    </row>
    <row r="29" spans="1:9" ht="15.6" x14ac:dyDescent="0.3">
      <c r="A29" s="11"/>
      <c r="B29" s="50"/>
      <c r="C29" s="50"/>
      <c r="D29" s="50"/>
      <c r="E29" s="50"/>
      <c r="F29" s="50"/>
      <c r="G29" s="10"/>
      <c r="H29" s="10"/>
      <c r="I29" s="59"/>
    </row>
    <row r="30" spans="1:9" ht="15.6" x14ac:dyDescent="0.3">
      <c r="A30" s="11"/>
      <c r="B30" s="50"/>
      <c r="C30" s="50"/>
      <c r="D30" s="50"/>
      <c r="E30" s="50"/>
      <c r="F30" s="50"/>
      <c r="G30" s="10"/>
      <c r="H30" s="10"/>
      <c r="I30" s="59"/>
    </row>
    <row r="31" spans="1:9" ht="15.6" x14ac:dyDescent="0.3">
      <c r="A31" s="11"/>
      <c r="B31" s="50"/>
      <c r="C31" s="50"/>
      <c r="D31" s="50"/>
      <c r="E31" s="50"/>
      <c r="F31" s="50"/>
      <c r="G31" s="10"/>
      <c r="H31" s="10"/>
      <c r="I31" s="59"/>
    </row>
    <row r="32" spans="1:9" ht="15.6" x14ac:dyDescent="0.3">
      <c r="A32" s="11"/>
      <c r="B32" s="50"/>
      <c r="C32" s="50"/>
      <c r="D32" s="50"/>
      <c r="E32" s="50"/>
      <c r="F32" s="50"/>
      <c r="G32" s="10"/>
      <c r="H32" s="10"/>
      <c r="I32" s="59"/>
    </row>
    <row r="33" spans="1:9" ht="15.6" x14ac:dyDescent="0.3">
      <c r="A33" s="11"/>
      <c r="B33" s="50"/>
      <c r="C33" s="50"/>
      <c r="D33" s="50"/>
      <c r="E33" s="50"/>
      <c r="F33" s="50"/>
      <c r="G33" s="10"/>
      <c r="H33" s="10"/>
      <c r="I33" s="59"/>
    </row>
    <row r="34" spans="1:9" ht="15.6" x14ac:dyDescent="0.3">
      <c r="A34" s="11"/>
      <c r="B34" s="50"/>
      <c r="C34" s="50"/>
      <c r="D34" s="50"/>
      <c r="E34" s="50"/>
      <c r="F34" s="50"/>
      <c r="G34" s="10"/>
      <c r="H34" s="10"/>
      <c r="I34" s="59"/>
    </row>
    <row r="35" spans="1:9" ht="15.6" x14ac:dyDescent="0.3">
      <c r="A35" s="11"/>
      <c r="B35" s="50"/>
      <c r="C35" s="50"/>
      <c r="D35" s="50"/>
      <c r="E35" s="50"/>
      <c r="F35" s="50"/>
      <c r="G35" s="10"/>
      <c r="H35" s="10"/>
      <c r="I35" s="59"/>
    </row>
    <row r="36" spans="1:9" ht="132" customHeight="1" x14ac:dyDescent="0.3">
      <c r="A36" s="11"/>
      <c r="B36" s="50"/>
      <c r="C36" s="50"/>
      <c r="D36" s="50"/>
      <c r="E36" s="50"/>
      <c r="F36" s="50"/>
      <c r="G36" s="10"/>
      <c r="H36" s="10"/>
      <c r="I36" s="59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9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9"/>
    </row>
    <row r="39" spans="1:9" ht="80.099999999999994" customHeight="1" x14ac:dyDescent="0.4">
      <c r="A39" s="8"/>
      <c r="B39" s="63"/>
      <c r="C39" s="63"/>
      <c r="D39" s="63"/>
      <c r="E39" s="63"/>
      <c r="F39" s="63"/>
      <c r="G39" s="7"/>
      <c r="H39" s="7"/>
      <c r="I39" s="59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9"/>
    </row>
    <row r="41" spans="1:9" ht="16.2" x14ac:dyDescent="0.35">
      <c r="A41" s="8"/>
      <c r="B41" s="8"/>
      <c r="C41" s="8"/>
      <c r="D41" s="8"/>
      <c r="E41" s="8"/>
      <c r="F41" s="8"/>
      <c r="G41" s="7"/>
      <c r="H41" s="7"/>
      <c r="I41" s="59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9"/>
    </row>
    <row r="43" spans="1:9" ht="51.9" customHeight="1" x14ac:dyDescent="0.35">
      <c r="A43" s="8"/>
      <c r="B43" s="51" t="s">
        <v>25</v>
      </c>
      <c r="C43" s="51"/>
      <c r="D43" s="51"/>
      <c r="E43" s="51"/>
      <c r="F43" s="51"/>
      <c r="G43" s="51"/>
      <c r="H43" s="7"/>
      <c r="I43" s="59"/>
    </row>
    <row r="44" spans="1:9" ht="20.25" customHeight="1" x14ac:dyDescent="0.35">
      <c r="A44" s="8"/>
      <c r="B44" s="8"/>
      <c r="C44" s="8"/>
      <c r="D44" s="8"/>
      <c r="E44" s="8"/>
      <c r="F44" s="8"/>
      <c r="G44" s="7"/>
      <c r="H44" s="7"/>
      <c r="I44" s="59"/>
    </row>
    <row r="45" spans="1:9" ht="16.2" x14ac:dyDescent="0.35">
      <c r="A45" s="8"/>
      <c r="B45" s="52"/>
      <c r="C45" s="52"/>
      <c r="D45" s="52"/>
      <c r="E45" s="52"/>
      <c r="F45" s="52"/>
      <c r="G45" s="7"/>
      <c r="H45" s="7"/>
      <c r="I45" s="59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9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9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9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9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9"/>
    </row>
    <row r="51" spans="1:9" ht="16.2" x14ac:dyDescent="0.35">
      <c r="A51" s="8"/>
      <c r="B51" s="8"/>
      <c r="C51" s="8"/>
      <c r="D51" s="8"/>
      <c r="E51" s="8"/>
      <c r="F51" s="8"/>
      <c r="G51" s="7"/>
      <c r="H51" s="7"/>
      <c r="I51" s="59"/>
    </row>
    <row r="52" spans="1:9" ht="16.2" x14ac:dyDescent="0.35">
      <c r="A52" s="8"/>
      <c r="B52" s="8"/>
      <c r="C52" s="8"/>
      <c r="D52" s="8"/>
      <c r="E52" s="8"/>
      <c r="F52" s="8"/>
      <c r="G52" s="7"/>
      <c r="H52" s="7"/>
      <c r="I52" s="59"/>
    </row>
    <row r="53" spans="1:9" ht="16.2" x14ac:dyDescent="0.35">
      <c r="A53" s="8"/>
      <c r="B53" s="52"/>
      <c r="C53" s="52"/>
      <c r="D53" s="52"/>
      <c r="E53" s="52"/>
      <c r="F53" s="52"/>
      <c r="G53" s="7"/>
      <c r="H53" s="7"/>
      <c r="I53" s="59"/>
    </row>
    <row r="54" spans="1:9" ht="16.2" x14ac:dyDescent="0.35">
      <c r="A54" s="8"/>
      <c r="B54" s="52"/>
      <c r="C54" s="52"/>
      <c r="D54" s="52"/>
      <c r="E54" s="52"/>
      <c r="F54" s="52"/>
      <c r="G54" s="7"/>
      <c r="H54" s="7"/>
      <c r="I54" s="59"/>
    </row>
    <row r="55" spans="1:9" ht="15" customHeight="1" thickBot="1" x14ac:dyDescent="0.4">
      <c r="A55" s="31"/>
      <c r="B55" s="53"/>
      <c r="C55" s="53"/>
      <c r="D55" s="53"/>
      <c r="E55" s="53"/>
      <c r="F55" s="53"/>
      <c r="G55" s="7"/>
      <c r="H55" s="7"/>
      <c r="I55" s="59"/>
    </row>
    <row r="56" spans="1:9" ht="27" customHeight="1" x14ac:dyDescent="0.35">
      <c r="A56" s="37" t="s">
        <v>17</v>
      </c>
      <c r="B56" s="38" t="s">
        <v>51</v>
      </c>
      <c r="C56" s="8"/>
      <c r="D56" s="8"/>
      <c r="E56" s="8"/>
      <c r="F56" s="8"/>
      <c r="G56" s="25" t="s">
        <v>11</v>
      </c>
      <c r="H56" s="26">
        <f>+H19+H20</f>
        <v>28000</v>
      </c>
      <c r="I56" s="3"/>
    </row>
    <row r="57" spans="1:9" ht="25.35" customHeight="1" x14ac:dyDescent="0.35">
      <c r="A57" s="9"/>
      <c r="B57" s="9"/>
      <c r="C57" s="8"/>
      <c r="D57" s="8"/>
      <c r="E57" s="8"/>
      <c r="F57" s="8"/>
      <c r="G57" s="27" t="s">
        <v>12</v>
      </c>
      <c r="H57" s="28"/>
      <c r="I57" s="3"/>
    </row>
    <row r="58" spans="1:9" ht="28.35" customHeight="1" thickBot="1" x14ac:dyDescent="0.4">
      <c r="A58" s="9"/>
      <c r="B58" s="9"/>
      <c r="C58" s="8"/>
      <c r="D58" s="8"/>
      <c r="E58" s="8"/>
      <c r="F58" s="8"/>
      <c r="G58" s="29" t="s">
        <v>13</v>
      </c>
      <c r="H58" s="30">
        <f>+H56</f>
        <v>28000</v>
      </c>
      <c r="I58" s="3"/>
    </row>
    <row r="59" spans="1:9" ht="29.1" customHeight="1" x14ac:dyDescent="0.35">
      <c r="A59" s="13" t="s">
        <v>33</v>
      </c>
      <c r="B59" s="13"/>
      <c r="C59" s="13"/>
      <c r="D59" s="13" t="s">
        <v>34</v>
      </c>
      <c r="E59" s="5"/>
      <c r="F59" s="5"/>
      <c r="G59" s="16"/>
      <c r="H59" s="5"/>
      <c r="I59" s="3"/>
    </row>
    <row r="60" spans="1:9" ht="16.2" x14ac:dyDescent="0.35">
      <c r="A60" s="48"/>
      <c r="B60" s="48"/>
      <c r="C60" s="48"/>
      <c r="D60" s="48"/>
      <c r="E60" s="48"/>
      <c r="F60" s="48"/>
      <c r="G60" s="5"/>
      <c r="H60" s="5"/>
      <c r="I60" s="3"/>
    </row>
    <row r="61" spans="1:9" ht="30.6" customHeight="1" x14ac:dyDescent="0.35">
      <c r="A61" s="5"/>
      <c r="B61" s="49" t="s">
        <v>39</v>
      </c>
      <c r="C61" s="49"/>
      <c r="D61" s="49"/>
      <c r="E61" s="49"/>
      <c r="F61" s="49"/>
      <c r="G61" s="49"/>
      <c r="H61" s="5"/>
      <c r="I61" s="3"/>
    </row>
    <row r="76" spans="7:7" x14ac:dyDescent="0.3">
      <c r="G76" t="s">
        <v>37</v>
      </c>
    </row>
  </sheetData>
  <mergeCells count="26">
    <mergeCell ref="A11:D11"/>
    <mergeCell ref="C3:F3"/>
    <mergeCell ref="G7:H7"/>
    <mergeCell ref="G8:H8"/>
    <mergeCell ref="G9:H10"/>
    <mergeCell ref="A10:D10"/>
    <mergeCell ref="I18:I55"/>
    <mergeCell ref="B19:F19"/>
    <mergeCell ref="B20:F20"/>
    <mergeCell ref="B23:C23"/>
    <mergeCell ref="B21:F21"/>
    <mergeCell ref="B39:F39"/>
    <mergeCell ref="A12:D12"/>
    <mergeCell ref="C14:F14"/>
    <mergeCell ref="B15:F15"/>
    <mergeCell ref="B16:F16"/>
    <mergeCell ref="B18:F18"/>
    <mergeCell ref="A60:C60"/>
    <mergeCell ref="D60:F60"/>
    <mergeCell ref="B61:G61"/>
    <mergeCell ref="B25:F36"/>
    <mergeCell ref="B43:G43"/>
    <mergeCell ref="B45:F45"/>
    <mergeCell ref="B53:F53"/>
    <mergeCell ref="B54:F54"/>
    <mergeCell ref="B55:F55"/>
  </mergeCells>
  <printOptions horizontalCentered="1"/>
  <pageMargins left="0.23622047244094491" right="0.23622047244094491" top="0.74803149606299213" bottom="0.74803149606299213" header="0.31496062992125984" footer="0.31496062992125984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Hoja1 (2)</vt:lpstr>
      <vt:lpstr>FACTURA FINAL</vt:lpstr>
      <vt:lpstr>'FACTURA FINAL'!Área_de_impresión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Cervantes</dc:creator>
  <cp:lastModifiedBy>Tierra Prometida Trading</cp:lastModifiedBy>
  <cp:lastPrinted>2026-04-28T22:12:50Z</cp:lastPrinted>
  <dcterms:created xsi:type="dcterms:W3CDTF">2016-02-10T20:01:36Z</dcterms:created>
  <dcterms:modified xsi:type="dcterms:W3CDTF">2026-05-13T14:07:14Z</dcterms:modified>
</cp:coreProperties>
</file>