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 Garcia\.claude\tierra-prometida\Moldes\"/>
    </mc:Choice>
  </mc:AlternateContent>
  <xr:revisionPtr revIDLastSave="0" documentId="13_ncr:1_{75671333-E733-408B-8954-80D6F1E8B441}" xr6:coauthVersionLast="47" xr6:coauthVersionMax="47" xr10:uidLastSave="{00000000-0000-0000-0000-000000000000}"/>
  <bookViews>
    <workbookView xWindow="-108" yWindow="-108" windowWidth="23256" windowHeight="12456" xr2:uid="{E759277A-3B10-497F-B485-D9F9FC8626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D5" i="1"/>
  <c r="I5" i="1" s="1"/>
  <c r="J5" i="1" s="1"/>
  <c r="K5" i="1" s="1"/>
  <c r="L5" i="1" s="1"/>
  <c r="M5" i="1" s="1"/>
  <c r="N5" i="1" s="1"/>
</calcChain>
</file>

<file path=xl/sharedStrings.xml><?xml version="1.0" encoding="utf-8"?>
<sst xmlns="http://schemas.openxmlformats.org/spreadsheetml/2006/main" count="13" uniqueCount="12">
  <si>
    <t>COSTO</t>
  </si>
  <si>
    <t>CAJAS</t>
  </si>
  <si>
    <t>AGENCIA</t>
  </si>
  <si>
    <t>COSTO TOTAL</t>
  </si>
  <si>
    <t>CU</t>
  </si>
  <si>
    <t>PV</t>
  </si>
  <si>
    <t>PV TOTAL</t>
  </si>
  <si>
    <t>TMR</t>
  </si>
  <si>
    <t>TRASNPORTE</t>
  </si>
  <si>
    <t>PUERTO</t>
  </si>
  <si>
    <t>VENTA EN PESOS COP</t>
  </si>
  <si>
    <t>GOU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</si>
</sst>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left"/>
    </xf>
    <xf numFmtId="164" fontId="0" fillId="0" borderId="0" xfId="0" applyNumberFormat="1"/>
    <xf numFmtId="43" fontId="0" fillId="0" borderId="0" xfId="1" applyFont="1"/>
    <xf numFmtId="0" fontId="2" fillId="0" borderId="0" xfId="0" applyFont="1" applyAlignment="1">
      <alignment horizontal="center"/>
    </xf>
    <xf numFmtId="0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0" applyFont="1" applyAlignment="1">
      <alignment horizontal="left"/>
    </xf>
    <xf numFmtId="44" fontId="2" fillId="0" borderId="0" xfId="2" applyFont="1" applyAlignment="1">
      <alignment horizontal="center"/>
    </xf>
    <xf numFmtId="164" fontId="0" fillId="0" borderId="0" xfId="1" applyNumberFormat="1" applyFont="1" applyAlignment="1">
      <alignment horizontal="left"/>
    </xf>
    <xf numFmtId="0" fontId="0" fillId="0" borderId="0" xfId="0" applyAlignment="1">
      <alignment horizontal="right"/>
    </xf>
    <xf numFmtId="44" fontId="0" fillId="0" borderId="0" xfId="2" applyFont="1" applyAlignment="1">
      <alignment horizontal="right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28E1-3B67-4B7D-8DD4-F01741CD0A88}">
  <dimension ref="B3:AF5"/>
  <sheetViews>
    <sheetView tabSelected="1" workbookViewId="0">
      <selection activeCell="L12" sqref="L12"/>
    </sheetView>
  </sheetViews>
  <sheetFormatPr baseColWidth="10" defaultRowHeight="14.4" x14ac:dyDescent="0.3"/>
  <cols>
    <col min="9" max="9" width="18.109375" bestFit="1" customWidth="1"/>
    <col min="13" max="13" width="15.33203125" bestFit="1" customWidth="1"/>
  </cols>
  <sheetData>
    <row r="3" spans="2:32" s="1" customFormat="1" x14ac:dyDescent="0.3">
      <c r="B3" s="7" t="s">
        <v>1</v>
      </c>
      <c r="C3" s="7" t="s">
        <v>7</v>
      </c>
      <c r="D3" s="7" t="s">
        <v>0</v>
      </c>
      <c r="E3" s="7" t="s">
        <v>1</v>
      </c>
      <c r="F3" s="7" t="s">
        <v>8</v>
      </c>
      <c r="G3" s="7" t="s">
        <v>9</v>
      </c>
      <c r="H3" s="7" t="s">
        <v>2</v>
      </c>
      <c r="I3" s="7" t="s">
        <v>3</v>
      </c>
      <c r="J3" s="7" t="s">
        <v>4</v>
      </c>
      <c r="K3" s="11" t="s">
        <v>5</v>
      </c>
      <c r="L3" s="7" t="s">
        <v>6</v>
      </c>
      <c r="M3" s="7" t="s">
        <v>10</v>
      </c>
      <c r="N3" s="7" t="s">
        <v>11</v>
      </c>
      <c r="O3" s="7"/>
      <c r="P3" s="7"/>
      <c r="Q3" s="8"/>
      <c r="R3" s="9"/>
      <c r="S3" s="7"/>
      <c r="T3" s="7"/>
      <c r="U3" s="7"/>
      <c r="V3" s="7"/>
      <c r="W3" s="7"/>
      <c r="X3" s="7"/>
      <c r="Y3" s="7"/>
      <c r="Z3" s="9"/>
      <c r="AA3" s="9"/>
      <c r="AB3" s="7"/>
      <c r="AC3" s="7"/>
      <c r="AD3" s="7"/>
      <c r="AE3" s="7"/>
    </row>
    <row r="4" spans="2:32" x14ac:dyDescent="0.3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spans="2:32" s="4" customFormat="1" x14ac:dyDescent="0.3">
      <c r="B5" s="13">
        <v>1400</v>
      </c>
      <c r="C5" s="14">
        <v>3127.51</v>
      </c>
      <c r="D5" s="2">
        <f>3800*23240</f>
        <v>88312000</v>
      </c>
      <c r="E5" s="3">
        <f>6113*B5</f>
        <v>8558200</v>
      </c>
      <c r="F5" s="3">
        <v>6000000</v>
      </c>
      <c r="G5" s="3">
        <v>6500000</v>
      </c>
      <c r="H5" s="3">
        <v>1300000</v>
      </c>
      <c r="I5" s="5">
        <f>SUM(D5:H5)</f>
        <v>110670200</v>
      </c>
      <c r="J5" s="6">
        <f>+I5/1400/C5</f>
        <v>25.275744236514942</v>
      </c>
      <c r="K5">
        <f>ROUND(+J5*1.015,1)</f>
        <v>25.7</v>
      </c>
      <c r="L5" s="3">
        <f>+K5*1400</f>
        <v>35980</v>
      </c>
      <c r="M5" s="3">
        <f>+L5*C5</f>
        <v>112527809.80000001</v>
      </c>
      <c r="N5" s="3">
        <f t="shared" ref="N5" si="0">+M5-I5</f>
        <v>1857609.8000000119</v>
      </c>
      <c r="O5"/>
      <c r="R5" s="2"/>
      <c r="S5" s="3"/>
      <c r="T5" s="3"/>
      <c r="U5" s="3"/>
      <c r="V5" s="3"/>
      <c r="W5" s="5"/>
      <c r="X5" s="6"/>
      <c r="Y5"/>
      <c r="Z5" s="3"/>
      <c r="AA5" s="3"/>
      <c r="AB5" s="3"/>
      <c r="AD5" s="12"/>
      <c r="AE5" s="12"/>
      <c r="AF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Tierra Prometida Trading</dc:creator>
  <cp:lastModifiedBy>Tierra Prometida Trading</cp:lastModifiedBy>
  <dcterms:created xsi:type="dcterms:W3CDTF">2026-08-08T14:54:13Z</dcterms:created>
  <dcterms:modified xsi:type="dcterms:W3CDTF">2026-08-18T14:27:50Z</dcterms:modified>
</cp:coreProperties>
</file>